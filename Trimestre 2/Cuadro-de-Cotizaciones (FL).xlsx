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086F755F-102C-4956-84D5-2B3CFB2D1799}" xr6:coauthVersionLast="47" xr6:coauthVersionMax="47" xr10:uidLastSave="{00000000-0000-0000-0000-000000000000}"/>
  <bookViews>
    <workbookView xWindow="-120" yWindow="-120" windowWidth="29040" windowHeight="15720" activeTab="8" xr2:uid="{00000000-000D-0000-FFFF-FFFF00000000}"/>
  </bookViews>
  <sheets>
    <sheet name="PC Admin" sheetId="1" r:id="rId1"/>
    <sheet name="Gabinete Admin" sheetId="5" state="hidden" r:id="rId2"/>
    <sheet name="Portatil Admin" sheetId="9" r:id="rId3"/>
    <sheet name="PC Trabajadores" sheetId="26" r:id="rId4"/>
    <sheet name="Portatil Trabajadores" sheetId="11" r:id="rId5"/>
    <sheet name="Servidores" sheetId="10" r:id="rId6"/>
    <sheet name="Licencias de Software" sheetId="19" r:id="rId7"/>
    <sheet name="Recursos Humanos" sheetId="28" r:id="rId8"/>
    <sheet name="Costo Final" sheetId="2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4" roundtripDataChecksum="08VIo1ogv5mU6Kg4aE55j9FR6aoy+dA6XtvlOVFWHT8="/>
    </ext>
  </extLst>
</workbook>
</file>

<file path=xl/calcChain.xml><?xml version="1.0" encoding="utf-8"?>
<calcChain xmlns="http://schemas.openxmlformats.org/spreadsheetml/2006/main">
  <c r="J24" i="19" l="1"/>
  <c r="F24" i="19"/>
  <c r="G24" i="19" s="1"/>
  <c r="H24" i="19" s="1"/>
  <c r="F23" i="19"/>
  <c r="G23" i="19" s="1"/>
  <c r="H23" i="19" s="1"/>
  <c r="D23" i="19"/>
  <c r="D24" i="19" s="1"/>
  <c r="F22" i="19"/>
  <c r="G22" i="19" s="1"/>
  <c r="H22" i="19" s="1"/>
  <c r="F32" i="11"/>
  <c r="G32" i="11" s="1"/>
  <c r="H32" i="11" s="1"/>
  <c r="F31" i="11"/>
  <c r="G31" i="11" s="1"/>
  <c r="H31" i="11" s="1"/>
  <c r="F30" i="11"/>
  <c r="G30" i="11" s="1"/>
  <c r="H30" i="11" s="1"/>
  <c r="G23" i="11"/>
  <c r="H23" i="11" s="1"/>
  <c r="H22" i="11"/>
  <c r="G22" i="11"/>
  <c r="F21" i="11"/>
  <c r="G21" i="11" s="1"/>
  <c r="H21" i="11" s="1"/>
  <c r="G49" i="26"/>
  <c r="H49" i="26" s="1"/>
  <c r="H48" i="26"/>
  <c r="G48" i="26"/>
  <c r="F47" i="26"/>
  <c r="G47" i="26" s="1"/>
  <c r="H47" i="26" s="1"/>
  <c r="G38" i="26"/>
  <c r="H38" i="26" s="1"/>
  <c r="F38" i="26"/>
  <c r="G37" i="26"/>
  <c r="H37" i="26" s="1"/>
  <c r="F37" i="26"/>
  <c r="G36" i="26"/>
  <c r="H36" i="26" s="1"/>
  <c r="F36" i="26"/>
  <c r="F23" i="26"/>
  <c r="G23" i="26" s="1"/>
  <c r="H23" i="26" s="1"/>
  <c r="G22" i="26"/>
  <c r="H22" i="26" s="1"/>
  <c r="F22" i="26"/>
  <c r="F21" i="26"/>
  <c r="G21" i="26" s="1"/>
  <c r="H21" i="26" s="1"/>
  <c r="G10" i="26"/>
  <c r="G9" i="26"/>
  <c r="G8" i="26"/>
  <c r="F8" i="26"/>
  <c r="G25" i="9"/>
  <c r="H25" i="9" s="1"/>
  <c r="H24" i="9"/>
  <c r="G24" i="9"/>
  <c r="F23" i="9"/>
  <c r="G23" i="9" s="1"/>
  <c r="H23" i="9" s="1"/>
  <c r="H49" i="1"/>
  <c r="G49" i="1"/>
  <c r="H48" i="1"/>
  <c r="G48" i="1"/>
  <c r="F47" i="1"/>
  <c r="G47" i="1" s="1"/>
  <c r="H47" i="1" s="1"/>
  <c r="F38" i="1"/>
  <c r="G38" i="1" s="1"/>
  <c r="H38" i="1" s="1"/>
  <c r="F37" i="1"/>
  <c r="G37" i="1" s="1"/>
  <c r="H37" i="1" s="1"/>
  <c r="F36" i="1"/>
  <c r="G36" i="1" s="1"/>
  <c r="H36" i="1" s="1"/>
  <c r="F23" i="1"/>
  <c r="G23" i="1" s="1"/>
  <c r="H23" i="1" s="1"/>
  <c r="F22" i="1"/>
  <c r="G22" i="1" s="1"/>
  <c r="H22" i="1" s="1"/>
  <c r="F21" i="1"/>
  <c r="G21" i="1" s="1"/>
  <c r="H21" i="1" s="1"/>
  <c r="G11" i="19"/>
  <c r="F10" i="19"/>
  <c r="G10" i="19" s="1"/>
  <c r="H10" i="19" s="1"/>
  <c r="F9" i="19"/>
  <c r="G9" i="19" s="1"/>
  <c r="H9" i="19" s="1"/>
  <c r="F8" i="19"/>
  <c r="G8" i="19" s="1"/>
  <c r="H8" i="19" s="1"/>
  <c r="F10" i="11"/>
  <c r="G10" i="11" s="1"/>
  <c r="H10" i="11" s="1"/>
  <c r="F9" i="11"/>
  <c r="G9" i="11" s="1"/>
  <c r="H9" i="11" s="1"/>
  <c r="F8" i="11"/>
  <c r="G8" i="11" s="1"/>
  <c r="H8" i="11" s="1"/>
  <c r="I10" i="10"/>
  <c r="G10" i="10"/>
  <c r="H10" i="10" s="1"/>
  <c r="F10" i="10"/>
  <c r="I9" i="10"/>
  <c r="H9" i="10"/>
  <c r="F9" i="10"/>
  <c r="G9" i="10" s="1"/>
  <c r="G8" i="10"/>
  <c r="H8" i="10" s="1"/>
  <c r="F8" i="10"/>
  <c r="F10" i="9"/>
  <c r="G10" i="9" s="1"/>
  <c r="H10" i="9" s="1"/>
  <c r="F9" i="9"/>
  <c r="G9" i="9" s="1"/>
  <c r="H9" i="9" s="1"/>
  <c r="F8" i="9"/>
  <c r="G8" i="9" s="1"/>
  <c r="H8" i="9" s="1"/>
  <c r="G10" i="5"/>
  <c r="H10" i="5" s="1"/>
  <c r="H9" i="5"/>
  <c r="G9" i="5"/>
  <c r="F8" i="5"/>
  <c r="G8" i="5" s="1"/>
  <c r="H8" i="5" s="1"/>
  <c r="G10" i="1"/>
  <c r="G9" i="1"/>
  <c r="G8" i="1"/>
  <c r="F8" i="1"/>
</calcChain>
</file>

<file path=xl/sharedStrings.xml><?xml version="1.0" encoding="utf-8"?>
<sst xmlns="http://schemas.openxmlformats.org/spreadsheetml/2006/main" count="573" uniqueCount="241">
  <si>
    <t>CUADRO DE COTIZACIONES</t>
  </si>
  <si>
    <t xml:space="preserve">Cuadro Comparativo de Cotizaciones </t>
  </si>
  <si>
    <t xml:space="preserve">Presupuestos (a)
</t>
  </si>
  <si>
    <r>
      <rPr>
        <b/>
        <sz val="10"/>
        <color theme="1"/>
        <rFont val="Trebuchet MS"/>
      </rPr>
      <t>Empresa</t>
    </r>
    <r>
      <rPr>
        <i/>
        <sz val="10"/>
        <color theme="1"/>
        <rFont val="Trebuchet MS"/>
      </rPr>
      <t xml:space="preserve">
(Nombre fiscal de la empresa)</t>
    </r>
  </si>
  <si>
    <r>
      <rPr>
        <b/>
        <sz val="10"/>
        <color theme="1"/>
        <rFont val="Trebuchet MS"/>
      </rPr>
      <t>Nº de CUIT, Dirección, Teléfono</t>
    </r>
    <r>
      <rPr>
        <i/>
        <sz val="10"/>
        <color theme="1"/>
        <rFont val="Trebuchet MS"/>
      </rPr>
      <t xml:space="preserve">
(Datos de la empresa)</t>
    </r>
  </si>
  <si>
    <r>
      <rPr>
        <b/>
        <sz val="10"/>
        <color theme="1"/>
        <rFont val="Trebuchet MS"/>
      </rPr>
      <t>Descripción del
bien/ servicio (b)</t>
    </r>
    <r>
      <rPr>
        <i/>
        <sz val="10"/>
        <color theme="1"/>
        <rFont val="Trebuchet MS"/>
      </rPr>
      <t xml:space="preserve">
</t>
    </r>
    <r>
      <rPr>
        <i/>
        <sz val="10"/>
        <color theme="1"/>
        <rFont val="Trebuchet MS"/>
      </rPr>
      <t>Características de los bienes/ servicios</t>
    </r>
  </si>
  <si>
    <r>
      <rPr>
        <b/>
        <sz val="10"/>
        <color theme="1"/>
        <rFont val="Trebuchet MS"/>
      </rPr>
      <t xml:space="preserve">Importe Unitario
</t>
    </r>
    <r>
      <rPr>
        <i/>
        <sz val="10"/>
        <color theme="1"/>
        <rFont val="Trebuchet MS"/>
      </rPr>
      <t>(moneda nacional)</t>
    </r>
  </si>
  <si>
    <r>
      <rPr>
        <b/>
        <u/>
        <sz val="10"/>
        <color theme="1"/>
        <rFont val="Trebuchet MS"/>
      </rPr>
      <t>Importe Total</t>
    </r>
    <r>
      <rPr>
        <b/>
        <u/>
        <sz val="10"/>
        <color theme="1"/>
        <rFont val="Trebuchet MS"/>
      </rPr>
      <t xml:space="preserve">
 IVA incluido
</t>
    </r>
    <r>
      <rPr>
        <i/>
        <u/>
        <sz val="10"/>
        <color theme="1"/>
        <rFont val="Trebuchet MS"/>
      </rPr>
      <t>(moneda nacional)</t>
    </r>
  </si>
  <si>
    <r>
      <rPr>
        <b/>
        <sz val="10"/>
        <color theme="1"/>
        <rFont val="Arial"/>
      </rPr>
      <t xml:space="preserve">Importe Total
</t>
    </r>
    <r>
      <rPr>
        <i/>
        <sz val="10"/>
        <color theme="1"/>
        <rFont val="Arial"/>
      </rPr>
      <t>(moneda extranjera)</t>
    </r>
  </si>
  <si>
    <t>Tipo de cambio</t>
  </si>
  <si>
    <r>
      <rPr>
        <b/>
        <sz val="10"/>
        <color theme="1"/>
        <rFont val="Trebuchet MS"/>
      </rPr>
      <t xml:space="preserve">Forma de Pago 
</t>
    </r>
    <r>
      <rPr>
        <i/>
        <sz val="10"/>
        <color theme="1"/>
        <rFont val="Trebuchet MS"/>
      </rPr>
      <t>(Contado o Cheque)</t>
    </r>
  </si>
  <si>
    <r>
      <rPr>
        <b/>
        <sz val="10"/>
        <color theme="1"/>
        <rFont val="Trebuchet MS"/>
      </rPr>
      <t xml:space="preserve">Observaciones </t>
    </r>
    <r>
      <rPr>
        <i/>
        <sz val="10"/>
        <color theme="1"/>
        <rFont val="Trebuchet MS"/>
      </rPr>
      <t xml:space="preserve">
</t>
    </r>
    <r>
      <rPr>
        <i/>
        <sz val="10"/>
        <color theme="1"/>
        <rFont val="Trebuchet MS"/>
      </rPr>
      <t>(se debe incluir toda aquella característica que no ha sido posible incluir anteriormente)</t>
    </r>
  </si>
  <si>
    <t>Nº 1</t>
  </si>
  <si>
    <t>Lenovo</t>
  </si>
  <si>
    <t>https://support.lenovo.com/co/es/</t>
  </si>
  <si>
    <t>S30 Workstation (ThinkStation) AMD Ryzer 5 8000u, 8gb de ramy 526 gb de almacenamiento ssd</t>
  </si>
  <si>
    <t>contado</t>
  </si>
  <si>
    <t>Incluye garantía 3 años on-site</t>
  </si>
  <si>
    <t xml:space="preserve">Nº2 </t>
  </si>
  <si>
    <t>Media market</t>
  </si>
  <si>
    <t>https://www.mediamarkt.es/es/product/_pc-sobremesa-asus-s340mf-i797000080-intel%C2%AE-core%E2%84%A2-i7-9700-16-gb-512-gb-ssd-graphics-630-freedos-negro-1485288.html</t>
  </si>
  <si>
    <t>PC Sobremesa - Asus S340MF-I797000080, Intel® Core™ i7-9700, 16 GB, 512 GB SSD, Graphics 630, FreeDOS, Negro</t>
  </si>
  <si>
    <t xml:space="preserve">Procesador
Intel® Core™ i7-9700
Velocidad Procesador
3.0 GHz
Vel. turbo procesador
4.70 GHz
Marca del procesador
Intel®
Número Procesador
i7-9700
Modelo del procesador
Core™ i7
Número de núcleos de procesador
8
Tamaño de caché
12 MB
Memoria RAM
Tipo de RAM
DDR4
Tamaño de la memoria RAM
16 GB
Memoria expandible
Sí
Velocidades de memoria
2666 MHz
NPU (Neural Processing Unit)
Total TOPS (Tera Operations Per Second)
0
Tarjeta gráfica
Fabricante de tarjeta gráfica
Intel®
Tarjeta gráfica
UHD 630
Disco duro
Número discos duros
1
Disco duro 1
SSD , 512 GB , M.2 via NVMe
Tipo de disco duro 1
SSD
Capacidad del disco duro 1
512 GB
Interfaz del disco duro 1
M.2 via NVMe
</t>
  </si>
  <si>
    <t>Nº 3</t>
  </si>
  <si>
    <t>Asus store</t>
  </si>
  <si>
    <t>https://www.asusbymacman.es/asus-s300ma-710700006t-i7-10700-16gb-512gb-pc-sobremesa-2550.html</t>
  </si>
  <si>
    <t>Asus S300MA-710700006T i7 10700 / 16GB / 512GB - PC Sobremesa</t>
  </si>
  <si>
    <t>Características
Procesador: Intel Core i7 10700 (8 Núcleos, Caché: 16MB hasta 4.70GHz, 64-bit)
RAM : 16GB DDR4 (memoria máxima 64GB ,2 slots)
SSD: 512GB NVMe PCI Express 3.0 M.2
Gráfica: Intel UHD Graphics 630
Sistema Operativo: Windows 10 Home
Chipset: Intel H410
Fuente: 500W 80 + Bronze
Unidad Optica: No
Red: WiFi 5 (802.11ac) 2x2
Bluetooth 4.2
LAN: Intel 10,100,1000 Mbit/s
Audio: High Definition 7.1 Channel Audio
Ranuras de expansión (incluidas las utilizadas): 1 x PcI Express x1 / 1 x PCI Express x16
Color: Negro
Especificaciones I/O
4 x USB 2.0 Tipo A
4 x USB 3.2 Gen 1 Tipo A
1 x VGA
1 x HDMI 1.4
1 x RJ45 Gigabit Ethernet
1 x 3.5mm combo audio jack
3 x Audio jacks
1 x MIC in
Lector de tarjetas SD / MMC : No
Dimensiones y peso
Tamaño: 162 x 307 x 373 mm
Peso: 5,59 kg</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</si>
  <si>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</si>
  <si>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</si>
  <si>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</si>
  <si>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</si>
  <si>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</si>
  <si>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</si>
  <si>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</si>
  <si>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</si>
  <si>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</si>
  <si>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Pc system (Dell)</t>
  </si>
  <si>
    <t>https://n9.cl/f0fza</t>
  </si>
  <si>
    <t>Monitor DELL E1920H /18.5"/ DISPLAY PORT - VGA</t>
  </si>
  <si>
    <t>Tipo de monitor Matriz activa-TFT LCD
Diagonal: 470.10 mm (18.5 in.)
Profundo de color: 16.7 millones de colores
Conectividad: 1 x DP1.2, 1 x VGA
Ángulo de inclinación: -5° a 21°
Resolución máxima preestablecida: 1366 x 768 @ 60 Hz
Medidas: Alto 266.00 mm , Ancho 445.40 mm ,Profundo 50.10 mm</t>
  </si>
  <si>
    <t>https://n9.cl/5hxai</t>
  </si>
  <si>
    <t>Monitor ThinkVision T22i-30 de 21,5"
4.6
(29)</t>
  </si>
  <si>
    <t>Pantalla FHD 21.5", IPS con backlight WLED, ratio 16:9 y resolución 1920x1080, plana y anti-reflejo
Tasa de refresco de 60Hz, brillo 250 cd/m², contraste 1000:1 y tiempos de respuesta: 4 ms (modo extremo), 6 ms (modo normal)
Pedestal TSLP (inclinación, giratorio, ajustable en altura y pivote)
Conectores 1x HDMI® 1.4, 1x DP 1.2, 1x VGA. Puertos USB: 4x USB 3.2 Gen 1, 1x USB-B 3.2 Gen 1</t>
  </si>
  <si>
    <t>HP</t>
  </si>
  <si>
    <t>https://www.hp.com/co-es/shop/monitores.html#</t>
  </si>
  <si>
    <t>Monitor HP P22h G5 FHD de 21,5"</t>
  </si>
  <si>
    <t xml:space="preserve">contado </t>
  </si>
  <si>
    <t>Monitor HP 64W30AA
Tipo de pantalla: IPS, LCD, antirreflejo, luz azul baja
Tamaño: 21.5" (47,6 × 26,77 cm)
Relación de aspecto: 16:9
Resolución nativa: Full HD (1920×1080)
Resoluciones soportadas: Desde 640×480 hasta 1920×1080
Distancia entre píxeles: 0,25 mm
Brillo: 250 nits
Contraste: 1000:
Tiempo de respuesta: 5 ms GtG (con overdrive)
Frecuencia: Horizontal 30–86 KHz / Vertical 48–75 Hz
Colores: 16,7 millones
Funciones adicionales: Altavoces dobles (2W c/u), controles en pantalla, montaje VESA (100×100 mm)
Dimensiones y peso:
Sin soporte: 48,84 × 5,12 × 29,43 cm
Con soporte: 48,84 × 19,64 × 44,95 cm
Peso: 4,05 kg
Energía y operación:
Consumo: máx. 28 W, típico 18 W, en espera 0,5 W
Temperatura operativa: 5–35 °C
Sostenibilidad y certificaciones:
Materiales reciclados (85% plástico reciclado ITE)
Certificaciones de seguridad, energía y medio ambiente (RoHS, TÜV Flicker Free, CE, FCC, WHQL, entre otras)
Incluye en la caja:
Monitor
Cable DisplayPort
Cable HDMI
Cable de alimentació
Tarjeta de garantía
Póster de instalación rápida
Documentación
Origen: Fabricado en China</t>
  </si>
  <si>
    <t>Logitech</t>
  </si>
  <si>
    <t>www.logitech.com</t>
  </si>
  <si>
    <t>Teclado Inalámbrico Multimedia Logitech K270 Unifying</t>
  </si>
  <si>
    <t xml:space="preserve">Logitech K270 Teclado Inalámbrico Multimedia, Anti-Derrames
CONEXIÓN FÁCIL
Logitech® Unifying es un minúsculo receptor inalámbrico que puede permanecer conectado a su laptop y permite conectar dispositivos cuando se necesitan. Conéctelo. Olvídese de él. Agregue más.
UNA SOLA PULSACIÓN
Puede lograr más y más rápido con ocho botones de acceso rápido que permiten acceder al instante a música, correo electrónico y más.
CARGADO Y LISTO
Con la administración de energía inteligente, pasarán años antes de que tenga que cambiar las pilas.
</t>
  </si>
  <si>
    <t>https://n9.cl/yp4nx</t>
  </si>
  <si>
    <t>Teclado y Mouse HP 150</t>
  </si>
  <si>
    <t>Conectividad y Comunicaciones
Longitud de cable (sistema de medidas inglés)
39.37 in
Largo del cable
100 cm
Descripción del conector
USB Type-A
Dispositivos Multimedia y de Entrada
Botones
3
Sistemas Operativos Soportados
Sistemas operativos compatibles
Windows 11; Windows 10
Contenido de la Caja
Contenido de la caja
Mouse; Teclado; Guía de inicio rápido; Garantía
Compatibilidad
Compatibilidad con hardware
Compatible con laptops que dispongan de puertos USB Tipo-A.
Garantía
Garantía
Un año de garantía limitada.
Dimensiones
Dimensiones mínimas (anch. x prof. x alt.)
42,59 × 14,61 × 2,68 cm (teclado); 10,34 × 6,11 × 3,42 cm (mouse)
Dimensiones del embalaje (An x F x Al)
50,5 x 16,6 x 4 cm
Dimensiones mínimas (anch. x prof. x alt.)
16.77 x 5.75 x 1.06 in (keyboard); 4.07 x 2.41 x 1.35 in (mouse)
Pesos
Peso
0,44kg (teclado); 0,06 kg (mouse)
Peso del embalaje
0,84 kg
Peso del embalaje
1.85 lb
Geografía
País de origen
Fabricado en China</t>
  </si>
  <si>
    <t>Steren</t>
  </si>
  <si>
    <t>https://n9.cl/0nlcq</t>
  </si>
  <si>
    <t>Teclado USB</t>
  </si>
  <si>
    <t>Trabaja de manera cómoda, con este funcional teclado!
Plug &amp; Play: Solo tienes que conectarlo por USB a tu PC o portátil, para comenzar a utilizarlo. Es compatible con sistemas operativos Windows y Mac.
Teclas: Tiene 105 teclas alfanuméricas.
Ergonómico: Incorpora dos pestañas en la parte inferior para que ajustes su posición. Además, la longitud de 1,20 metros del cable permite que sea usado cómodamente.
Resistente: Está fabricado con plástico ABS de gran calidad que tiene acabado negro mate.</t>
  </si>
  <si>
    <r>
      <rPr>
        <b/>
        <sz val="10"/>
        <color theme="1"/>
        <rFont val="Arial"/>
      </rPr>
      <t xml:space="preserve">Importe Total
</t>
    </r>
    <r>
      <rPr>
        <b/>
        <i/>
        <sz val="8"/>
        <color theme="1"/>
        <rFont val="Arial"/>
      </rPr>
      <t>(moneda extranjera)</t>
    </r>
  </si>
  <si>
    <t>https://n9.cl/ow6w2n</t>
  </si>
  <si>
    <t>Mouse Trackball Inalámbrico Logitech Ergo M575s Ergonómico</t>
  </si>
  <si>
    <t>LOGITECH ERGO M575s, WIRELESS TRACKBALL, INALÁMBRICO DUAL
Trabaja cómodamente con el trackball inalámbrico Ergo M575S
Trabaja en tu zona de comodidad con el trackball inalámbrico Ergo M575S, certificado por ergónomos para mantener la mano y el antebrazo relajados, ahora con clics silenciosos.
Trabaja cómodamente en tu espacio</t>
  </si>
  <si>
    <t>Teclado y Mouse Alámbrico HP 150
Conexión fácil, diseño delgado y ergonómico en el teclado, gran precisión con 1600DPI en el mouse, y las funciones de teclas necesarias para mantener tu productividad a tope</t>
  </si>
  <si>
    <t>innovapolar</t>
  </si>
  <si>
    <t>https://n9.cl/qsnck</t>
  </si>
  <si>
    <t>Mouse Recargable Silencioso Inalámbrico Ergonómico Negro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</si>
  <si>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</si>
  <si>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</si>
  <si>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</si>
  <si>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</si>
  <si>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</si>
  <si>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</si>
  <si>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</si>
  <si>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</si>
  <si>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https://acortar.link/5DllIm</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</si>
  <si>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</si>
  <si>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</si>
  <si>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</si>
  <si>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</si>
  <si>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</si>
  <si>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</si>
  <si>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</si>
  <si>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</si>
  <si>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</si>
  <si>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</si>
  <si>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u/>
        <sz val="10"/>
        <color rgb="FF0000FF"/>
        <rFont val="Arial"/>
      </rPr>
      <t xml:space="preserve"> </t>
    </r>
    <r>
      <rPr>
        <u/>
        <sz val="10"/>
        <color rgb="FF1155CC"/>
        <rFont val="Arial"/>
      </rPr>
      <t>https://n9.cl/59fne</t>
    </r>
  </si>
  <si>
    <t>Portátil HP 15-fd0021la, Intel Core i5, 8 GB RAM, 512 GB SSD, 15.6, HD Windows 11 Home</t>
  </si>
  <si>
    <t>Apple</t>
  </si>
  <si>
    <t>https://n9.cl/ypikl</t>
  </si>
  <si>
    <t>Apple Macbook Air (13 pulgadas, 2020, Chip M1, 256 GB de SSD) - Gris espacial</t>
  </si>
  <si>
    <t>precio mercado libre</t>
  </si>
  <si>
    <t>Acer</t>
  </si>
  <si>
    <t>https://n9.cl/rpykf</t>
  </si>
  <si>
    <t>Portátil Gaming Acer Nitro R1yz R5 8gb 512gb Ssd Windows 11 Color Negro</t>
  </si>
  <si>
    <t>Procesador: AMD Ryzen 5 7535HS.
Versión del sistema operativo: 11.
Edición del sistema operativo: Home.
Nombre del sistema operativo: Windows.
Capacidad de disco SSD: 512 GB.
Capacidad total del módulo de memoria RAM: 8 GB.
Con pantalla táctil: No.
Resolución de la pantalla: 1920 px x 1080 px.
Con teclado retroiluminado.</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</si>
  <si>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</si>
  <si>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</si>
  <si>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</si>
  <si>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</si>
  <si>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</si>
  <si>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</si>
  <si>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</si>
  <si>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</si>
  <si>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</si>
  <si>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Hostinger</t>
  </si>
  <si>
    <t>https://www.hostinger.com/es/1</t>
  </si>
  <si>
    <t>Web hosting seguro y rápido como tiene que ser</t>
  </si>
  <si>
    <t>Precio por mensualidad. Todos los beneficios del plan Single, y además:
Dominio gratis por 1 año
Disfruta de tus sitios de WordPress sin ocuparte del mantenimiento
Administra sitios web más fácilmente con WordPress multisitio
Usa la línea de comandos de WordPress para obtener resultados inmediatos</t>
  </si>
  <si>
    <t>Godaddy</t>
  </si>
  <si>
    <t>https://www.godaddy.com/es</t>
  </si>
  <si>
    <t>Obtén hosting rápido y confiable con un SSL gratuito</t>
  </si>
  <si>
    <t>plan por mensualidad  1 sitio web
10 GB de almacenamiento NVMe
Panel de control del hosting administrado para WordPress de GoDaddy
Dominio gratis*
Correo electrónico gratis
Certificado SSL gratis, sin cargos de renovación
Garantía de devolución de dinero por 30 días+
Seguridad del sitio incluida
Rendimiento hasta dos veces más rápido con CDN 7
WordPress preinstalado
Herramienta de creación de IA
Respaldos semanales
Actualizaciones automáticas del núcleo de software de WordPress
Herramienta de migración de WordPress</t>
  </si>
  <si>
    <t>Hostgator</t>
  </si>
  <si>
    <t>https://www.hostgator.co/web-hosting</t>
  </si>
  <si>
    <t>plan negocios</t>
  </si>
  <si>
    <t>plan mensual</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</si>
  <si>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</si>
  <si>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</si>
  <si>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</si>
  <si>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</si>
  <si>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</si>
  <si>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</si>
  <si>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</si>
  <si>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</si>
  <si>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</si>
  <si>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</si>
  <si>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</si>
  <si>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u/>
        <sz val="10"/>
        <color rgb="FF0000FF"/>
        <rFont val="Arial"/>
      </rPr>
      <t xml:space="preserve"> </t>
    </r>
    <r>
      <rPr>
        <u/>
        <sz val="10"/>
        <color rgb="FF1155CC"/>
        <rFont val="Arial"/>
      </rPr>
      <t>https://n9.cl/59fne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</si>
  <si>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</si>
  <si>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t>Mercado libre (Logitech)</t>
  </si>
  <si>
    <t>https://www.mercadolibre.com.co/teclado-bluetooth-logitech-master-series-mx-keys-mini-qwerty-espanol-color-grafito-con-luz-blanca/p/MCO24526187?product_trigger_id=MCO18931563&amp;pdp_filters=item_id%3AMCO1333831287&amp;applied_product_filters=MCO18931563&amp;quantity=1</t>
  </si>
  <si>
    <t xml:space="preserve">Teclado bluetooth </t>
  </si>
  <si>
    <t>Logitech Master Series MX Keys Mini QWERTY 
español color grafito con luz blanca</t>
  </si>
  <si>
    <t xml:space="preserve">Mercado Libre  (Dell) </t>
  </si>
  <si>
    <t>https://articulo.mercadolibre.com.co/MCO-1306116199-teclado-dell-negrocon-cable-usb104-teclas-_JM?matt_tool=19390127&amp;utm_source=google_shopping&amp;utm_medium=organic</t>
  </si>
  <si>
    <t xml:space="preserve">Teclado USB Delgado Dell 2gr91 De 104 Teclas Con Pies Delgado
</t>
  </si>
  <si>
    <t>Alkosto ( HP )</t>
  </si>
  <si>
    <r>
      <rPr>
        <sz val="10"/>
        <color theme="1"/>
        <rFont val="Trebuchet MS"/>
      </rPr>
      <t xml:space="preserve">
</t>
    </r>
    <r>
      <rPr>
        <u/>
        <sz val="10"/>
        <color rgb="FF1155CC"/>
        <rFont val="Trebuchet MS"/>
      </rPr>
      <t>https://www.alkosto.com/teclado-hp-inalambrico-220-negro/p/197497177428?utm_source=google&amp;utm_medium=organic&amp;utm_campaign=Shopping-Organico&amp;srsltid=AfmBOopWqnjsejOgFB7tH4367CbItW7ijXpw9DfH8EwWyIPbFY3_4RpU_Ns</t>
    </r>
  </si>
  <si>
    <t>Teclado HP Inalámbrico 220 Negro,Conexión inalámbrica muy rápida de 2,4 GHz
Trabaja rapidamente con 12 combinaciones de acceso directo</t>
  </si>
  <si>
    <t xml:space="preserve">es preciso, cómodo y elegante, adicional, podrás ir donde quieras pues es un teclado inalámbrico de tamaño completo, el incluye un teclado numérico y teclas tipo chiclet, las cuales no se desprenden, para que puedas usarlo a donde sea que tenga que ir.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</si>
  <si>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</si>
  <si>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</si>
  <si>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</si>
  <si>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</si>
  <si>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</si>
  <si>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</si>
  <si>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</si>
  <si>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</si>
  <si>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Microsoft 365 </t>
  </si>
  <si>
    <t>https://www.microsoft.com/es-co/microsoft-365/p/microsoft-365-familia/CFQ7TTC0K5DM/007P?OCID=AIDcmm6mu07qw1_seo_omc_goo&amp;source=googleshopping</t>
  </si>
  <si>
    <t>Obtén hasta 6 TB (1 TB por persona) de almacenamiento en la nube, seguridad avanzada y aplicaciones innovadoras con IAFootnote1, todo en un mismo plan.</t>
  </si>
  <si>
    <t>Para PC, Mac, iPhone, iPad y teléfonos y tabletas Android
Hasta 6 TB de almacenamiento seguro en la nube (1 TB por persona)
Aplicaciones de productividad con Microsoft Copilot
Editor y creador de imágenes Designer con tecnología de IA
Editor de vídeo Clipchamp con filtros y efectos premium
Seguridad avanzada de Microsoft Defender para tus datos personales y dispositivos</t>
  </si>
  <si>
    <t>Exito oficee365</t>
  </si>
  <si>
    <t>https://www.exito.com/licencia-office-365-5-dispositivos-124138321/p?idsku=124201262&amp;srsltid=AfmBOopGmWVpYMJe3DFKHcAxoTjqy3hF1vNzZPrf56tyTZGDKK6e5wnbJrI</t>
  </si>
  <si>
    <t>permite activar Office 365 en hasta 5 dispositivos diferentes, tanto en PC como en Mac. Puedes disfrutar de todas las herramientas de Office en 5 computadoras y 5 dispositivos móviles simultáneamente.</t>
  </si>
  <si>
    <t>Con Office 365, obtienes acceso a Word, Excel, PowerPoint, Outlook, Access, Publisher y OneNote para Windows. Para Mac, no incluye Publisher ni Access, pero sigue siendo una solución integral para la mayoría de las necesidades de oficina.</t>
  </si>
  <si>
    <t>Tulicencias (Microsoft Office 2024 Professional Plus</t>
  </si>
  <si>
    <t>https://tulicencias.com/product/microsoft-office-2024-professional-plus/?currency=COP&amp;srsltid=AfmBOopzHJhpWWVwKrxV3GfdC-WUPmfr9vI51Roc1ymLtJgP09fq3hULFVo</t>
  </si>
  <si>
    <t>Activación en línea
Licencia de por vida para 1 PC. Clave 25 dígitos.</t>
  </si>
  <si>
    <t>Puede reutilizarlo en la misma PC.
 Archivos de configuración de 32 y 64 bits
 Envío instantáneo por correo electrónico.
Todos los idiomas</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</si>
  <si>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</si>
  <si>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</si>
  <si>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Microsoft</t>
  </si>
  <si>
    <t>https://www.microsoft.com/es-co/</t>
  </si>
  <si>
    <t xml:space="preserve">Licencia Windows 11 home ESD Vitalicia
</t>
  </si>
  <si>
    <t xml:space="preserve">pc colombia </t>
  </si>
  <si>
    <t>https://colombiapc.com/product/windows-11-pro-licencia-original/?gad_source=1&amp;gad_campaignid=22328210296&amp;gbraid=0AAAAA_AoYCWBL0PC8IwwShs41PKoGassx&amp;gclid=CjwKCAjw7_DEBhAeEiwAWKiCC13nmYsQD7uZwd3C5OppdfQLZqEYsUzBOn1VhvSQ2RNeqo6xKUIuuhoCeesQAvD_BwE</t>
  </si>
  <si>
    <t>activa tu software</t>
  </si>
  <si>
    <t>https://activatusoftware.com/</t>
  </si>
  <si>
    <t>Contado</t>
  </si>
  <si>
    <t>Teclado</t>
  </si>
  <si>
    <t>TECLADO</t>
  </si>
  <si>
    <t>MONITOR</t>
  </si>
  <si>
    <t>MOUSE</t>
  </si>
  <si>
    <t>Licencia Windows</t>
  </si>
  <si>
    <t>LICENCIA WINDOWS</t>
  </si>
  <si>
    <t>Ítem</t>
  </si>
  <si>
    <t>Empresa</t>
  </si>
  <si>
    <t>Costo Unitario</t>
  </si>
  <si>
    <t>Cantidad</t>
  </si>
  <si>
    <t>Costo Total</t>
  </si>
  <si>
    <t>Torre Admin</t>
  </si>
  <si>
    <t>Licencia Office</t>
  </si>
  <si>
    <t>Tulicencias</t>
  </si>
  <si>
    <t>TOTAL GENERAL</t>
  </si>
  <si>
    <t>Nº</t>
  </si>
  <si>
    <t>Rol/Cargo</t>
  </si>
  <si>
    <t>Salario Base</t>
  </si>
  <si>
    <t>Aux. Transporte</t>
  </si>
  <si>
    <t>Costo Mensual Total</t>
  </si>
  <si>
    <t>Meses</t>
  </si>
  <si>
    <t>Costo Total Proyecto</t>
  </si>
  <si>
    <t>Desarrollador Backend</t>
  </si>
  <si>
    <t>Desarrollador Frontend</t>
  </si>
  <si>
    <t>TOTALES</t>
  </si>
  <si>
    <t>Carga Prestacional</t>
  </si>
  <si>
    <t>Líder / Analista</t>
  </si>
  <si>
    <t>Tester QA / Documentador</t>
  </si>
  <si>
    <t>Nómina</t>
  </si>
  <si>
    <t>Valor</t>
  </si>
  <si>
    <t>Salario Mínimo</t>
  </si>
  <si>
    <t>Auxilio de Transporte</t>
  </si>
  <si>
    <t>Salario Mínimo Integral</t>
  </si>
  <si>
    <t>Aportes Parafiscales</t>
  </si>
  <si>
    <t>Porcentaje</t>
  </si>
  <si>
    <t>SENA</t>
  </si>
  <si>
    <t>ICBF</t>
  </si>
  <si>
    <t>Cajas de Compensación</t>
  </si>
  <si>
    <t>Total Parafiscales</t>
  </si>
  <si>
    <t>Cargas Prestacionales</t>
  </si>
  <si>
    <t>Cesantías</t>
  </si>
  <si>
    <t>Intereses a las Cesantías</t>
  </si>
  <si>
    <t>Prima de Servicios</t>
  </si>
  <si>
    <t>Vacaciones</t>
  </si>
  <si>
    <t>Total Prestaciones</t>
  </si>
  <si>
    <t>Seguridad Social</t>
  </si>
  <si>
    <t>Salud</t>
  </si>
  <si>
    <t>Empleado</t>
  </si>
  <si>
    <t>Pensión</t>
  </si>
  <si>
    <t>Total Carga Empresa</t>
  </si>
  <si>
    <t>Total Carga Empleado</t>
  </si>
  <si>
    <t>Concepto</t>
  </si>
  <si>
    <t>Mes 1</t>
  </si>
  <si>
    <t>Total Año</t>
  </si>
  <si>
    <t>Arrendamiento</t>
  </si>
  <si>
    <t>Servicios Públicos</t>
  </si>
  <si>
    <t>Telefonía</t>
  </si>
  <si>
    <t>Internet</t>
  </si>
  <si>
    <t>$ -</t>
  </si>
  <si>
    <t>Total</t>
  </si>
  <si>
    <t>Proveedor Seleccionado</t>
  </si>
  <si>
    <t>Media Market (Asus)</t>
  </si>
  <si>
    <t>Monitor</t>
  </si>
  <si>
    <t>Dell (PC System)</t>
  </si>
  <si>
    <t>Mouse</t>
  </si>
  <si>
    <t>Innovapolar</t>
  </si>
  <si>
    <t>PC Colombia</t>
  </si>
  <si>
    <t>Hosting</t>
  </si>
  <si>
    <t>GoDaddy (1 año aprox)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</si>
</sst>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quot;$&quot;#,##0.00"/>
  </numFmts>
  <fonts count="61" x14ac:knownFonts="1">
    <font>
      <sz val="10"/>
      <color rgb="FF000000"/>
      <name val="Arial"/>
      <scheme val="minor"/>
    </font>
    <font>
      <sz val="10"/>
      <color theme="1"/>
      <name val="Arial"/>
    </font>
    <font>
      <sz val="10"/>
      <color rgb="FF000000"/>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theme="10"/>
      <name val="Arial"/>
    </font>
    <font>
      <sz val="10"/>
      <color rgb="FF000000"/>
      <name val="Trebuchet MS"/>
    </font>
    <font>
      <u/>
      <sz val="10"/>
      <color theme="1"/>
      <name val="Trebuchet MS"/>
    </font>
    <font>
      <b/>
      <sz val="10"/>
      <color rgb="FF000000"/>
      <name val="Arial"/>
    </font>
    <font>
      <u/>
      <sz val="10"/>
      <color rgb="FF000000"/>
      <name val="Arial"/>
    </font>
    <font>
      <u/>
      <sz val="10"/>
      <color theme="10"/>
      <name val="Arial"/>
    </font>
    <font>
      <sz val="10"/>
      <color theme="1"/>
      <name val="Arial Narrow"/>
    </font>
    <font>
      <sz val="10"/>
      <color rgb="FF0000FF"/>
      <name val="Arial"/>
    </font>
    <font>
      <u/>
      <sz val="10"/>
      <color rgb="FF000000"/>
      <name val="Trebuchet MS"/>
    </font>
    <font>
      <u/>
      <sz val="10"/>
      <color rgb="FF0000FF"/>
      <name val="Arial"/>
    </font>
    <font>
      <sz val="12"/>
      <color theme="1"/>
      <name val="Trebuchet MS"/>
    </font>
    <font>
      <u/>
      <sz val="10"/>
      <color theme="10"/>
      <name val="Arial"/>
    </font>
    <font>
      <u/>
      <sz val="10"/>
      <color rgb="FF0000FF"/>
      <name val="Arial"/>
    </font>
    <font>
      <sz val="10"/>
      <color rgb="FF231F20"/>
      <name val="Trebuchet MS"/>
    </font>
    <font>
      <u/>
      <sz val="10"/>
      <color rgb="FF0000FF"/>
      <name val="Arial"/>
    </font>
    <font>
      <u/>
      <sz val="10"/>
      <color rgb="FF0000FF"/>
      <name val="Arial"/>
    </font>
    <font>
      <u/>
      <sz val="10"/>
      <color rgb="FF0000FF"/>
      <name val="Trebuchet MS"/>
    </font>
    <font>
      <u/>
      <sz val="10"/>
      <color rgb="FF000000"/>
      <name val="Trebuchet MS"/>
    </font>
    <font>
      <u/>
      <sz val="10"/>
      <color rgb="FF0000FF"/>
      <name val="Trebuchet MS"/>
    </font>
    <font>
      <u/>
      <sz val="10"/>
      <color theme="1"/>
      <name val="Trebuchet MS"/>
    </font>
    <font>
      <u/>
      <sz val="10"/>
      <color rgb="FF0000FF"/>
      <name val="Trebuchet MS"/>
    </font>
    <font>
      <u/>
      <sz val="10"/>
      <color rgb="FF0000FF"/>
      <name val="Arial"/>
    </font>
    <font>
      <u/>
      <sz val="10"/>
      <color rgb="FF000000"/>
      <name val="Trebuchet MS"/>
    </font>
    <font>
      <u/>
      <sz val="10"/>
      <color rgb="FF000000"/>
      <name val="Arial"/>
    </font>
    <font>
      <u/>
      <sz val="10"/>
      <color theme="1"/>
      <name val="Trebuchet MS"/>
    </font>
    <font>
      <u/>
      <sz val="10"/>
      <color rgb="FF0000FF"/>
      <name val="Arial"/>
    </font>
    <font>
      <sz val="10"/>
      <color theme="1"/>
      <name val="Arial"/>
      <scheme val="minor"/>
    </font>
    <font>
      <u/>
      <sz val="10"/>
      <color rgb="FF000000"/>
      <name val="Trebuchet MS"/>
    </font>
    <font>
      <u/>
      <sz val="10"/>
      <color rgb="FF0000FF"/>
      <name val="Trebuchet MS"/>
    </font>
    <font>
      <u/>
      <sz val="10"/>
      <color rgb="FF0000FF"/>
      <name val="Arial"/>
    </font>
    <font>
      <u/>
      <sz val="10"/>
      <color rgb="FF0000FF"/>
      <name val="Trebuchet MS"/>
    </font>
    <font>
      <u/>
      <sz val="10"/>
      <color theme="1"/>
      <name val="Trebuchet MS"/>
    </font>
    <font>
      <b/>
      <u/>
      <sz val="11"/>
      <color rgb="FF777777"/>
      <name val="Roboto"/>
    </font>
    <font>
      <u/>
      <sz val="10"/>
      <color theme="1"/>
      <name val="Trebuchet MS"/>
    </font>
    <font>
      <i/>
      <sz val="10"/>
      <color theme="1"/>
      <name val="Trebuchet MS"/>
    </font>
    <font>
      <i/>
      <u/>
      <sz val="10"/>
      <color theme="1"/>
      <name val="Trebuchet MS"/>
    </font>
    <font>
      <i/>
      <sz val="8"/>
      <color theme="1"/>
      <name val="Trebuchet MS"/>
    </font>
    <font>
      <i/>
      <u/>
      <sz val="8"/>
      <color theme="1"/>
      <name val="Trebuchet MS"/>
    </font>
    <font>
      <i/>
      <sz val="8"/>
      <color theme="1"/>
      <name val="Arial"/>
    </font>
    <font>
      <b/>
      <i/>
      <sz val="8"/>
      <color theme="1"/>
      <name val="Arial"/>
    </font>
    <font>
      <u/>
      <sz val="10"/>
      <color rgb="FF1155CC"/>
      <name val="Arial"/>
    </font>
    <font>
      <u/>
      <sz val="10"/>
      <color rgb="FF1155CC"/>
      <name val="Trebuchet MS"/>
    </font>
    <font>
      <sz val="10"/>
      <color rgb="FF000000"/>
      <name val="Trebuchet MS"/>
      <family val="2"/>
    </font>
    <font>
      <b/>
      <sz val="12"/>
      <color theme="1"/>
      <name val="Arial"/>
      <family val="2"/>
    </font>
    <font>
      <sz val="10"/>
      <color rgb="FF000000"/>
      <name val="Arial"/>
      <family val="2"/>
    </font>
    <font>
      <sz val="10"/>
      <color theme="1"/>
      <name val="Trebuchet MS"/>
      <family val="2"/>
    </font>
    <font>
      <sz val="10"/>
      <color rgb="FF000000"/>
      <name val="Arial"/>
      <family val="2"/>
      <scheme val="minor"/>
    </font>
    <font>
      <sz val="8.75"/>
      <color rgb="FF000000"/>
      <name val="Segoe UI"/>
      <family val="2"/>
    </font>
    <font>
      <sz val="8.75"/>
      <color rgb="FF000000"/>
      <name val="Segoe UI"/>
      <family val="2"/>
    </font>
    <font>
      <sz val="10"/>
      <color rgb="FF000000"/>
      <name val="Segoe UI"/>
      <family val="2"/>
    </font>
    <font>
      <sz val="10"/>
      <color rgb="FF000000"/>
      <name val="Arial"/>
      <family val="2"/>
      <scheme val="minor"/>
    </font>
  </fonts>
  <fills count="7">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8F8F8"/>
        <bgColor rgb="FFF8F8F8"/>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top style="thin">
        <color indexed="64"/>
      </top>
      <bottom style="thin">
        <color indexed="64"/>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right style="medium">
        <color indexed="64"/>
      </right>
      <top/>
      <bottom style="medium">
        <color indexed="64"/>
      </bottom>
      <diagonal/>
    </border>
  </borders>
  <cellStyleXfs count="1">
    <xf numFmtId="0" fontId="0" fillId="0" borderId="0"/>
  </cellStyleXfs>
  <cellXfs count="157">
    <xf numFmtId="0" fontId="0" fillId="0" borderId="0" xfId="0" applyFont="1" applyAlignment="1"/>
    <xf numFmtId="0" fontId="1" fillId="0" borderId="0" xfId="0" applyFont="1"/>
    <xf numFmtId="0" fontId="2" fillId="0" borderId="0" xfId="0" applyFont="1"/>
    <xf numFmtId="3" fontId="2" fillId="0" borderId="0" xfId="0" applyNumberFormat="1" applyFont="1"/>
    <xf numFmtId="0" fontId="5" fillId="3"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xf>
    <xf numFmtId="3" fontId="6" fillId="0" borderId="4" xfId="0" applyNumberFormat="1" applyFont="1" applyBorder="1" applyAlignment="1">
      <alignment horizontal="center" vertical="center" wrapText="1"/>
    </xf>
    <xf numFmtId="0" fontId="7" fillId="4"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8" fillId="0" borderId="0" xfId="0" applyFont="1" applyAlignment="1">
      <alignment horizontal="center" vertical="center"/>
    </xf>
    <xf numFmtId="0" fontId="5" fillId="0" borderId="4" xfId="0" applyFont="1" applyBorder="1" applyAlignment="1">
      <alignment horizontal="center" vertical="center"/>
    </xf>
    <xf numFmtId="0" fontId="9" fillId="0" borderId="4" xfId="0"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horizontal="left" vertical="center" wrapText="1"/>
    </xf>
    <xf numFmtId="164" fontId="9" fillId="0" borderId="4" xfId="0" applyNumberFormat="1" applyFont="1" applyBorder="1" applyAlignment="1">
      <alignment horizontal="center" vertical="center" wrapText="1"/>
    </xf>
    <xf numFmtId="164" fontId="9" fillId="0" borderId="4" xfId="0" applyNumberFormat="1" applyFont="1" applyBorder="1" applyAlignment="1">
      <alignment horizontal="center" vertical="center" wrapText="1"/>
    </xf>
    <xf numFmtId="2" fontId="12" fillId="0" borderId="4"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3" fillId="5" borderId="4" xfId="0" applyFont="1" applyFill="1" applyBorder="1" applyAlignment="1">
      <alignment horizontal="center" vertical="center"/>
    </xf>
    <xf numFmtId="0" fontId="11" fillId="5" borderId="0" xfId="0" applyFont="1" applyFill="1" applyAlignment="1">
      <alignment horizontal="center" vertical="center"/>
    </xf>
    <xf numFmtId="0" fontId="14" fillId="5" borderId="4" xfId="0" applyFont="1" applyFill="1" applyBorder="1" applyAlignment="1">
      <alignment vertical="center" wrapText="1"/>
    </xf>
    <xf numFmtId="0" fontId="11" fillId="5" borderId="3" xfId="0" applyFont="1" applyFill="1" applyBorder="1" applyAlignment="1">
      <alignment horizontal="center" vertical="center" wrapText="1"/>
    </xf>
    <xf numFmtId="164" fontId="11" fillId="5" borderId="4" xfId="0" applyNumberFormat="1" applyFont="1" applyFill="1" applyBorder="1" applyAlignment="1">
      <alignment horizontal="center" vertical="center" wrapText="1"/>
    </xf>
    <xf numFmtId="164" fontId="11" fillId="5" borderId="0" xfId="0" applyNumberFormat="1" applyFont="1" applyFill="1" applyAlignment="1">
      <alignment horizontal="center" vertical="center"/>
    </xf>
    <xf numFmtId="2" fontId="11" fillId="5" borderId="4" xfId="0" applyNumberFormat="1" applyFont="1" applyFill="1" applyBorder="1" applyAlignment="1">
      <alignment horizontal="center" vertical="center" wrapText="1"/>
    </xf>
    <xf numFmtId="0" fontId="15" fillId="0" borderId="0" xfId="0" applyFont="1" applyAlignment="1">
      <alignment vertical="center"/>
    </xf>
    <xf numFmtId="0" fontId="9" fillId="0" borderId="4" xfId="0" applyFont="1" applyBorder="1" applyAlignment="1">
      <alignment horizontal="center" vertical="center" wrapText="1"/>
    </xf>
    <xf numFmtId="2" fontId="9" fillId="0" borderId="4" xfId="0" applyNumberFormat="1" applyFont="1" applyBorder="1" applyAlignment="1">
      <alignment horizontal="center" vertical="center" wrapText="1"/>
    </xf>
    <xf numFmtId="0" fontId="1" fillId="0" borderId="4" xfId="0" applyFont="1" applyBorder="1"/>
    <xf numFmtId="0" fontId="9" fillId="0" borderId="4" xfId="0" applyFont="1" applyBorder="1" applyAlignment="1">
      <alignment horizontal="left" vertical="top" wrapText="1"/>
    </xf>
    <xf numFmtId="3" fontId="9" fillId="0" borderId="4" xfId="0" applyNumberFormat="1" applyFont="1" applyBorder="1" applyAlignment="1">
      <alignment horizontal="left" vertical="top" wrapText="1"/>
    </xf>
    <xf numFmtId="0" fontId="16" fillId="0" borderId="0" xfId="0" applyFont="1" applyAlignment="1">
      <alignment horizontal="center" vertical="center" wrapText="1"/>
    </xf>
    <xf numFmtId="3" fontId="16" fillId="0" borderId="0" xfId="0" applyNumberFormat="1" applyFont="1" applyAlignment="1">
      <alignment horizontal="center" vertical="center" wrapText="1"/>
    </xf>
    <xf numFmtId="0" fontId="9" fillId="0" borderId="1" xfId="0" applyFont="1" applyBorder="1" applyAlignment="1">
      <alignment horizontal="center" vertical="top" wrapText="1"/>
    </xf>
    <xf numFmtId="0" fontId="17" fillId="0" borderId="4" xfId="0" applyFont="1" applyBorder="1" applyAlignment="1">
      <alignment vertical="center"/>
    </xf>
    <xf numFmtId="0" fontId="18" fillId="0" borderId="0" xfId="0" applyFont="1" applyAlignment="1">
      <alignment horizontal="left" vertical="top" wrapText="1"/>
    </xf>
    <xf numFmtId="164" fontId="9" fillId="0" borderId="4" xfId="0" applyNumberFormat="1" applyFont="1" applyBorder="1" applyAlignment="1">
      <alignment horizontal="center" vertical="top" wrapText="1"/>
    </xf>
    <xf numFmtId="164" fontId="9" fillId="0" borderId="4" xfId="0" applyNumberFormat="1" applyFont="1" applyBorder="1" applyAlignment="1">
      <alignment horizontal="center" vertical="top" wrapText="1"/>
    </xf>
    <xf numFmtId="0" fontId="9" fillId="0" borderId="4" xfId="0" applyFont="1" applyBorder="1" applyAlignment="1">
      <alignment horizontal="center" vertical="top" wrapText="1"/>
    </xf>
    <xf numFmtId="0" fontId="2" fillId="0" borderId="4" xfId="0" applyFont="1" applyBorder="1" applyAlignment="1">
      <alignment wrapText="1"/>
    </xf>
    <xf numFmtId="0" fontId="5" fillId="5" borderId="4" xfId="0" applyFont="1" applyFill="1" applyBorder="1" applyAlignment="1">
      <alignment horizontal="center" vertical="center"/>
    </xf>
    <xf numFmtId="0" fontId="9" fillId="5" borderId="4" xfId="0" applyFont="1" applyFill="1" applyBorder="1" applyAlignment="1">
      <alignment horizontal="center" vertical="top" wrapText="1"/>
    </xf>
    <xf numFmtId="0" fontId="19" fillId="5" borderId="7" xfId="0" applyFont="1" applyFill="1" applyBorder="1" applyAlignment="1"/>
    <xf numFmtId="164" fontId="9" fillId="5" borderId="4" xfId="0" applyNumberFormat="1" applyFont="1" applyFill="1" applyBorder="1" applyAlignment="1">
      <alignment horizontal="center" vertical="top" wrapText="1"/>
    </xf>
    <xf numFmtId="164" fontId="9" fillId="5" borderId="4" xfId="0" applyNumberFormat="1" applyFont="1" applyFill="1" applyBorder="1" applyAlignment="1">
      <alignment horizontal="center" vertical="top" wrapText="1"/>
    </xf>
    <xf numFmtId="0" fontId="9" fillId="5" borderId="4" xfId="0" applyFont="1" applyFill="1" applyBorder="1" applyAlignment="1">
      <alignment horizontal="left" vertical="top" wrapText="1"/>
    </xf>
    <xf numFmtId="0" fontId="20" fillId="0" borderId="4" xfId="0" applyFont="1" applyBorder="1" applyAlignment="1">
      <alignment horizontal="center" vertical="top" wrapText="1"/>
    </xf>
    <xf numFmtId="0" fontId="21" fillId="0" borderId="4" xfId="0" applyFont="1" applyBorder="1" applyAlignment="1">
      <alignment horizontal="center" vertical="top" wrapText="1"/>
    </xf>
    <xf numFmtId="0" fontId="9" fillId="0" borderId="4" xfId="0" applyFont="1" applyBorder="1" applyAlignment="1">
      <alignment horizontal="left" vertical="top" wrapText="1"/>
    </xf>
    <xf numFmtId="0" fontId="22" fillId="0" borderId="0" xfId="0" applyFont="1" applyAlignment="1">
      <alignment wrapText="1"/>
    </xf>
    <xf numFmtId="0" fontId="23" fillId="0" borderId="0" xfId="0" applyFont="1" applyAlignment="1">
      <alignment horizontal="center" vertical="top"/>
    </xf>
    <xf numFmtId="0" fontId="24" fillId="0" borderId="0" xfId="0" applyFont="1" applyAlignment="1"/>
    <xf numFmtId="0" fontId="25" fillId="5" borderId="4" xfId="0" applyFont="1" applyFill="1" applyBorder="1" applyAlignment="1">
      <alignment horizontal="left" vertical="top" wrapText="1"/>
    </xf>
    <xf numFmtId="0" fontId="26" fillId="0" borderId="1" xfId="0" applyFont="1" applyBorder="1" applyAlignment="1">
      <alignment horizontal="center" vertical="top"/>
    </xf>
    <xf numFmtId="0" fontId="27" fillId="0" borderId="4" xfId="0" applyFont="1" applyBorder="1" applyAlignment="1">
      <alignment horizontal="center" vertical="top" wrapText="1"/>
    </xf>
    <xf numFmtId="164" fontId="9" fillId="0" borderId="3" xfId="0" applyNumberFormat="1" applyFont="1" applyBorder="1" applyAlignment="1">
      <alignment horizontal="center" vertical="top" wrapText="1"/>
    </xf>
    <xf numFmtId="0" fontId="28" fillId="0" borderId="4" xfId="0" applyFont="1" applyBorder="1" applyAlignment="1">
      <alignment horizontal="center" vertical="top" wrapText="1"/>
    </xf>
    <xf numFmtId="0" fontId="9" fillId="0" borderId="8" xfId="0" applyFont="1" applyBorder="1" applyAlignment="1">
      <alignment horizontal="center" vertical="top" wrapText="1"/>
    </xf>
    <xf numFmtId="0" fontId="29" fillId="5" borderId="4" xfId="0" applyFont="1" applyFill="1" applyBorder="1" applyAlignment="1">
      <alignment horizontal="center" vertical="top" wrapText="1"/>
    </xf>
    <xf numFmtId="0" fontId="9" fillId="5" borderId="4" xfId="0" applyFont="1" applyFill="1" applyBorder="1" applyAlignment="1">
      <alignment horizontal="center" vertical="top" wrapText="1"/>
    </xf>
    <xf numFmtId="0" fontId="30" fillId="5" borderId="4" xfId="0" applyFont="1" applyFill="1" applyBorder="1" applyAlignment="1">
      <alignment horizontal="center" vertical="top" wrapText="1"/>
    </xf>
    <xf numFmtId="164" fontId="9" fillId="0" borderId="3" xfId="0" applyNumberFormat="1" applyFont="1" applyBorder="1" applyAlignment="1">
      <alignment horizontal="center" vertical="top" wrapText="1"/>
    </xf>
    <xf numFmtId="0" fontId="31" fillId="5" borderId="4" xfId="0" applyFont="1" applyFill="1" applyBorder="1" applyAlignment="1">
      <alignment horizontal="center" vertical="top" wrapText="1"/>
    </xf>
    <xf numFmtId="0" fontId="32" fillId="5" borderId="0" xfId="0" applyFont="1" applyFill="1" applyAlignment="1">
      <alignment horizontal="center" vertical="top" wrapText="1"/>
    </xf>
    <xf numFmtId="0" fontId="33" fillId="0" borderId="4" xfId="0" applyFont="1" applyBorder="1" applyAlignment="1">
      <alignment horizontal="center" vertical="top" wrapText="1"/>
    </xf>
    <xf numFmtId="0" fontId="34" fillId="0" borderId="4" xfId="0" applyFont="1" applyBorder="1" applyAlignment="1">
      <alignment horizontal="center" vertical="top" wrapText="1"/>
    </xf>
    <xf numFmtId="3" fontId="9" fillId="5" borderId="4" xfId="0" applyNumberFormat="1" applyFont="1" applyFill="1" applyBorder="1" applyAlignment="1">
      <alignment horizontal="center" vertical="top" wrapText="1"/>
    </xf>
    <xf numFmtId="0" fontId="35" fillId="0" borderId="4" xfId="0" applyFont="1" applyBorder="1" applyAlignment="1">
      <alignment horizontal="center" vertical="top" wrapText="1"/>
    </xf>
    <xf numFmtId="164" fontId="11" fillId="0" borderId="0" xfId="0" applyNumberFormat="1" applyFont="1" applyAlignment="1">
      <alignment horizontal="center" vertical="top"/>
    </xf>
    <xf numFmtId="0" fontId="36" fillId="0" borderId="0" xfId="0" applyFont="1" applyAlignment="1"/>
    <xf numFmtId="0" fontId="9" fillId="0" borderId="4" xfId="0" applyFont="1" applyBorder="1" applyAlignment="1">
      <alignment horizontal="center" vertical="top" wrapText="1"/>
    </xf>
    <xf numFmtId="164" fontId="11" fillId="5" borderId="0" xfId="0" applyNumberFormat="1" applyFont="1" applyFill="1" applyAlignment="1">
      <alignment horizontal="center" vertical="center"/>
    </xf>
    <xf numFmtId="0" fontId="9" fillId="5" borderId="4" xfId="0" applyFont="1" applyFill="1" applyBorder="1" applyAlignment="1">
      <alignment horizontal="center" vertical="center" wrapText="1"/>
    </xf>
    <xf numFmtId="3" fontId="9" fillId="0" borderId="4" xfId="0" applyNumberFormat="1" applyFont="1" applyBorder="1" applyAlignment="1">
      <alignment horizontal="center" vertical="top" wrapText="1"/>
    </xf>
    <xf numFmtId="0" fontId="37" fillId="0" borderId="0" xfId="0" applyFont="1" applyAlignment="1">
      <alignment horizontal="center" vertical="top" wrapText="1"/>
    </xf>
    <xf numFmtId="0" fontId="38" fillId="5" borderId="4" xfId="0" applyFont="1" applyFill="1" applyBorder="1" applyAlignment="1">
      <alignment horizontal="center" vertical="top" wrapText="1"/>
    </xf>
    <xf numFmtId="0" fontId="39" fillId="0" borderId="0" xfId="0" applyFont="1"/>
    <xf numFmtId="0" fontId="23" fillId="5" borderId="0" xfId="0" applyFont="1" applyFill="1" applyAlignment="1">
      <alignment horizontal="center" vertical="top"/>
    </xf>
    <xf numFmtId="0" fontId="40" fillId="5" borderId="4" xfId="0" applyFont="1" applyFill="1" applyBorder="1" applyAlignment="1">
      <alignment horizontal="left" vertical="top" wrapText="1"/>
    </xf>
    <xf numFmtId="0" fontId="41" fillId="0" borderId="4" xfId="0" applyFont="1" applyBorder="1" applyAlignment="1">
      <alignment horizontal="left" vertical="top" wrapText="1"/>
    </xf>
    <xf numFmtId="0" fontId="23" fillId="0" borderId="0" xfId="0" applyFont="1" applyAlignment="1">
      <alignment horizontal="center" vertical="top"/>
    </xf>
    <xf numFmtId="0" fontId="42" fillId="6" borderId="4" xfId="0" applyFont="1" applyFill="1" applyBorder="1" applyAlignment="1">
      <alignment horizontal="left" vertical="center"/>
    </xf>
    <xf numFmtId="3" fontId="9" fillId="0" borderId="4" xfId="0" applyNumberFormat="1" applyFont="1" applyBorder="1" applyAlignment="1">
      <alignment horizontal="center" vertical="center" wrapText="1"/>
    </xf>
    <xf numFmtId="0" fontId="23" fillId="5" borderId="0" xfId="0" applyFont="1" applyFill="1" applyAlignment="1">
      <alignment horizontal="center" vertical="center"/>
    </xf>
    <xf numFmtId="164" fontId="9" fillId="5" borderId="4" xfId="0" applyNumberFormat="1" applyFont="1" applyFill="1" applyBorder="1" applyAlignment="1">
      <alignment horizontal="center" vertical="center" wrapText="1"/>
    </xf>
    <xf numFmtId="0" fontId="43" fillId="0" borderId="4" xfId="0" applyFont="1" applyBorder="1" applyAlignment="1">
      <alignment horizontal="center" vertical="center" wrapText="1"/>
    </xf>
    <xf numFmtId="0" fontId="0" fillId="0" borderId="0" xfId="0" applyFont="1" applyAlignment="1"/>
    <xf numFmtId="0" fontId="3" fillId="0" borderId="0" xfId="0" applyFont="1" applyAlignment="1">
      <alignment horizontal="center" vertical="center"/>
    </xf>
    <xf numFmtId="0" fontId="0" fillId="0" borderId="0" xfId="0" applyFont="1" applyAlignmen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4" fillId="0" borderId="7" xfId="0" applyFont="1" applyBorder="1"/>
    <xf numFmtId="0" fontId="53" fillId="0" borderId="0" xfId="0" applyFont="1" applyAlignment="1">
      <alignment horizontal="center" vertical="center"/>
    </xf>
    <xf numFmtId="0" fontId="52" fillId="5" borderId="5" xfId="0" applyFont="1" applyFill="1" applyBorder="1" applyAlignment="1">
      <alignment horizontal="center" vertical="center" wrapText="1"/>
    </xf>
    <xf numFmtId="0" fontId="2" fillId="0" borderId="6" xfId="0" applyFont="1" applyBorder="1" applyAlignment="1">
      <alignment vertical="center" wrapText="1"/>
    </xf>
    <xf numFmtId="0" fontId="54" fillId="0" borderId="8" xfId="0" applyFont="1" applyBorder="1" applyAlignment="1">
      <alignment vertical="center" wrapText="1"/>
    </xf>
    <xf numFmtId="0" fontId="54" fillId="5" borderId="9" xfId="0" applyFont="1" applyFill="1" applyBorder="1" applyAlignment="1">
      <alignment vertical="center" wrapText="1"/>
    </xf>
    <xf numFmtId="0" fontId="55" fillId="0" borderId="4" xfId="0" applyFont="1" applyBorder="1" applyAlignment="1">
      <alignment horizontal="center" vertical="top" wrapText="1"/>
    </xf>
    <xf numFmtId="0" fontId="5" fillId="0" borderId="7" xfId="0" applyFont="1" applyBorder="1" applyAlignment="1">
      <alignment horizontal="left" vertical="center" wrapText="1"/>
    </xf>
    <xf numFmtId="0" fontId="4" fillId="0" borderId="7" xfId="0" applyFont="1" applyBorder="1"/>
    <xf numFmtId="0" fontId="2" fillId="0" borderId="7" xfId="0" applyFont="1" applyBorder="1"/>
    <xf numFmtId="0" fontId="0" fillId="0" borderId="7" xfId="0" applyFont="1" applyBorder="1" applyAlignment="1"/>
    <xf numFmtId="0" fontId="5" fillId="0" borderId="9" xfId="0" applyFont="1" applyBorder="1" applyAlignment="1">
      <alignment horizontal="left" vertical="center" wrapText="1"/>
    </xf>
    <xf numFmtId="0" fontId="4" fillId="0" borderId="9" xfId="0" applyFont="1" applyBorder="1"/>
    <xf numFmtId="0" fontId="57" fillId="0" borderId="10" xfId="0" applyFont="1" applyBorder="1" applyAlignment="1">
      <alignment horizontal="left" vertical="center" wrapText="1"/>
    </xf>
    <xf numFmtId="0" fontId="58" fillId="0" borderId="7" xfId="0" applyFont="1" applyBorder="1" applyAlignment="1">
      <alignment horizontal="left" vertical="center" wrapText="1"/>
    </xf>
    <xf numFmtId="0" fontId="58" fillId="0" borderId="7" xfId="0" applyFont="1" applyBorder="1" applyAlignment="1">
      <alignment horizontal="right" vertical="center" wrapText="1"/>
    </xf>
    <xf numFmtId="0" fontId="58" fillId="0" borderId="7" xfId="0" applyFont="1" applyBorder="1" applyAlignment="1">
      <alignment horizontal="center" vertical="center" wrapText="1"/>
    </xf>
    <xf numFmtId="0" fontId="58" fillId="0" borderId="9" xfId="0" applyFont="1" applyBorder="1" applyAlignment="1">
      <alignment horizontal="left" vertical="center" wrapText="1"/>
    </xf>
    <xf numFmtId="0" fontId="58" fillId="0" borderId="9" xfId="0" applyFont="1" applyBorder="1" applyAlignment="1">
      <alignment horizontal="right" vertical="center" wrapText="1"/>
    </xf>
    <xf numFmtId="0" fontId="58" fillId="0" borderId="9" xfId="0" applyFont="1" applyBorder="1" applyAlignment="1">
      <alignment horizontal="center" vertical="center" wrapText="1"/>
    </xf>
    <xf numFmtId="0" fontId="57" fillId="0" borderId="11" xfId="0" applyFont="1" applyBorder="1" applyAlignment="1">
      <alignment horizontal="center" vertical="top" wrapText="1"/>
    </xf>
    <xf numFmtId="0" fontId="57" fillId="0" borderId="14" xfId="0" applyFont="1" applyBorder="1" applyAlignment="1">
      <alignment horizontal="center" vertical="center" wrapText="1"/>
    </xf>
    <xf numFmtId="0" fontId="57" fillId="0" borderId="17" xfId="0" applyFont="1" applyBorder="1" applyAlignment="1">
      <alignment horizontal="left" vertical="center" wrapText="1"/>
    </xf>
    <xf numFmtId="6" fontId="58" fillId="0" borderId="10" xfId="0" applyNumberFormat="1" applyFont="1" applyBorder="1" applyAlignment="1">
      <alignment horizontal="center" vertical="center" wrapText="1"/>
    </xf>
    <xf numFmtId="6" fontId="57" fillId="0" borderId="10" xfId="0" applyNumberFormat="1" applyFont="1" applyBorder="1" applyAlignment="1">
      <alignment horizontal="center" vertical="center" wrapText="1"/>
    </xf>
    <xf numFmtId="0" fontId="58" fillId="0" borderId="15" xfId="0" applyFont="1" applyBorder="1" applyAlignment="1">
      <alignment horizontal="center" vertical="center" wrapText="1"/>
    </xf>
    <xf numFmtId="6" fontId="57" fillId="0" borderId="17" xfId="0" applyNumberFormat="1" applyFont="1" applyBorder="1" applyAlignment="1">
      <alignment horizontal="center" vertical="center" wrapText="1"/>
    </xf>
    <xf numFmtId="0" fontId="59" fillId="0" borderId="12" xfId="0" applyFont="1" applyBorder="1" applyAlignment="1">
      <alignment horizontal="left" vertical="top" wrapText="1"/>
    </xf>
    <xf numFmtId="0" fontId="59" fillId="0" borderId="12" xfId="0" applyFont="1" applyBorder="1" applyAlignment="1">
      <alignment horizontal="center" vertical="top" wrapText="1"/>
    </xf>
    <xf numFmtId="0" fontId="59" fillId="0" borderId="13" xfId="0" applyFont="1" applyBorder="1" applyAlignment="1">
      <alignment horizontal="center" vertical="top" wrapText="1"/>
    </xf>
    <xf numFmtId="0" fontId="57" fillId="0" borderId="16" xfId="0" applyFont="1" applyBorder="1" applyAlignment="1">
      <alignment horizontal="center" vertical="center" wrapText="1"/>
    </xf>
    <xf numFmtId="6" fontId="58" fillId="0" borderId="17" xfId="0" applyNumberFormat="1" applyFont="1" applyBorder="1" applyAlignment="1">
      <alignment horizontal="center" vertical="center" wrapText="1"/>
    </xf>
    <xf numFmtId="0" fontId="57" fillId="0" borderId="9" xfId="0" applyFont="1" applyBorder="1" applyAlignment="1">
      <alignment horizontal="center" vertical="center" wrapText="1"/>
    </xf>
    <xf numFmtId="0" fontId="57" fillId="0" borderId="9" xfId="0" applyFont="1" applyBorder="1" applyAlignment="1">
      <alignment horizontal="left" vertical="center" wrapText="1"/>
    </xf>
    <xf numFmtId="6" fontId="58" fillId="0" borderId="9" xfId="0" applyNumberFormat="1" applyFont="1" applyBorder="1" applyAlignment="1">
      <alignment horizontal="center" vertical="center" wrapText="1"/>
    </xf>
    <xf numFmtId="6" fontId="57" fillId="0" borderId="9" xfId="0" applyNumberFormat="1" applyFont="1" applyBorder="1" applyAlignment="1">
      <alignment horizontal="center" vertical="center" wrapText="1"/>
    </xf>
    <xf numFmtId="6" fontId="59" fillId="0" borderId="9" xfId="0" applyNumberFormat="1" applyFont="1" applyBorder="1" applyAlignment="1">
      <alignment horizontal="center" vertical="center" wrapText="1"/>
    </xf>
    <xf numFmtId="0" fontId="58" fillId="0" borderId="18" xfId="0" applyFont="1" applyBorder="1" applyAlignment="1">
      <alignment horizontal="center" vertical="center" wrapText="1"/>
    </xf>
    <xf numFmtId="0" fontId="59" fillId="0" borderId="9" xfId="0" applyFont="1" applyBorder="1" applyAlignment="1">
      <alignment horizontal="center" vertical="top" wrapText="1"/>
    </xf>
    <xf numFmtId="0" fontId="57" fillId="0" borderId="9" xfId="0" applyFont="1" applyBorder="1" applyAlignment="1">
      <alignment horizontal="center" vertical="top" wrapText="1"/>
    </xf>
    <xf numFmtId="0" fontId="57" fillId="0" borderId="9" xfId="0" applyFont="1" applyBorder="1" applyAlignment="1">
      <alignment horizontal="left" vertical="top" wrapText="1"/>
    </xf>
    <xf numFmtId="0" fontId="57" fillId="0" borderId="9" xfId="0" applyFont="1" applyBorder="1" applyAlignment="1">
      <alignment horizontal="right" vertical="top" wrapText="1"/>
    </xf>
    <xf numFmtId="8" fontId="57" fillId="0" borderId="9" xfId="0" applyNumberFormat="1" applyFont="1" applyBorder="1" applyAlignment="1">
      <alignment horizontal="right" vertical="center" wrapText="1"/>
    </xf>
    <xf numFmtId="0" fontId="57" fillId="0" borderId="9" xfId="0" applyFont="1" applyBorder="1" applyAlignment="1">
      <alignment horizontal="right" vertical="center" wrapText="1"/>
    </xf>
    <xf numFmtId="10" fontId="58" fillId="0" borderId="9" xfId="0" applyNumberFormat="1" applyFont="1" applyBorder="1" applyAlignment="1">
      <alignment horizontal="right" vertical="center" wrapText="1"/>
    </xf>
    <xf numFmtId="10" fontId="57" fillId="0" borderId="9" xfId="0" applyNumberFormat="1" applyFont="1" applyBorder="1" applyAlignment="1">
      <alignment horizontal="right" vertical="center" wrapText="1"/>
    </xf>
    <xf numFmtId="8" fontId="58" fillId="0" borderId="9" xfId="0" applyNumberFormat="1" applyFont="1" applyBorder="1" applyAlignment="1">
      <alignment horizontal="center" vertical="center" wrapText="1"/>
    </xf>
    <xf numFmtId="8" fontId="57" fillId="0" borderId="9" xfId="0" applyNumberFormat="1" applyFont="1" applyBorder="1" applyAlignment="1">
      <alignment horizontal="center" vertical="center" wrapText="1"/>
    </xf>
    <xf numFmtId="0" fontId="58" fillId="0" borderId="20" xfId="0" applyFont="1" applyBorder="1" applyAlignment="1">
      <alignment horizontal="left" vertical="center" wrapText="1"/>
    </xf>
    <xf numFmtId="0" fontId="58" fillId="0" borderId="20" xfId="0" applyFont="1" applyBorder="1" applyAlignment="1">
      <alignment horizontal="right" vertical="center" wrapText="1"/>
    </xf>
    <xf numFmtId="0" fontId="58" fillId="0" borderId="20" xfId="0" applyFont="1" applyBorder="1" applyAlignment="1">
      <alignment horizontal="center" vertical="center" wrapText="1"/>
    </xf>
    <xf numFmtId="0" fontId="57" fillId="0" borderId="19" xfId="0" applyFont="1" applyBorder="1" applyAlignment="1">
      <alignment horizontal="left" vertical="center" wrapText="1"/>
    </xf>
    <xf numFmtId="6" fontId="57" fillId="0" borderId="21" xfId="0" applyNumberFormat="1" applyFont="1" applyBorder="1" applyAlignment="1">
      <alignment horizontal="right" vertical="center" wrapText="1"/>
    </xf>
    <xf numFmtId="0" fontId="60" fillId="0" borderId="9" xfId="0" applyFont="1" applyBorder="1" applyAlignment="1">
      <alignment horizontal="left" vertical="top" wrapText="1"/>
    </xf>
    <xf numFmtId="0" fontId="60" fillId="0" borderId="9" xfId="0" applyFont="1" applyBorder="1" applyAlignment="1">
      <alignment horizontal="right" vertical="top" wrapText="1"/>
    </xf>
    <xf numFmtId="0" fontId="60" fillId="0" borderId="9" xfId="0" applyFont="1" applyBorder="1" applyAlignment="1">
      <alignment horizontal="center" vertical="top" wrapText="1"/>
    </xf>
    <xf numFmtId="0" fontId="60" fillId="0" borderId="9" xfId="0" applyFont="1" applyBorder="1" applyAlignment="1">
      <alignment horizontal="left" vertical="center" wrapText="1"/>
    </xf>
    <xf numFmtId="0" fontId="56" fillId="0" borderId="9" xfId="0" applyFont="1" applyBorder="1" applyAlignment="1">
      <alignment horizontal="left" vertical="center" wrapText="1"/>
    </xf>
    <xf numFmtId="6" fontId="56" fillId="0" borderId="9" xfId="0" applyNumberFormat="1" applyFont="1" applyBorder="1" applyAlignment="1">
      <alignment horizontal="right" vertical="center" wrapText="1"/>
    </xf>
    <xf numFmtId="0" fontId="56" fillId="0" borderId="9" xfId="0" applyFont="1" applyBorder="1" applyAlignment="1">
      <alignment horizontal="center" vertical="center" wrapText="1"/>
    </xf>
    <xf numFmtId="6" fontId="60" fillId="0" borderId="9"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25"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24" Type="http://customschemas.google.com/relationships/workbookmetadata" Target="metadata"/><Relationship Id="rId5" Type="http://schemas.openxmlformats.org/officeDocument/2006/relationships/worksheet" Target="worksheets/sheet5.xml"/><Relationship Id="rId2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16</xdr:row>
      <xdr:rowOff>123825</xdr:rowOff>
    </xdr:from>
    <xdr:ext cx="6819900" cy="3248025"/>
    <xdr:pic>
      <xdr:nvPicPr>
        <xdr:cNvPr id="2" name="image1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781050</xdr:colOff>
      <xdr:row>16</xdr:row>
      <xdr:rowOff>123825</xdr:rowOff>
    </xdr:from>
    <xdr:ext cx="6877050" cy="3248025"/>
    <xdr:pic>
      <xdr:nvPicPr>
        <xdr:cNvPr id="3" name="image7.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942975</xdr:colOff>
      <xdr:row>16</xdr:row>
      <xdr:rowOff>123825</xdr:rowOff>
    </xdr:from>
    <xdr:ext cx="6858000" cy="3248025"/>
    <xdr:pic>
      <xdr:nvPicPr>
        <xdr:cNvPr id="4" name="image10.png" title="Imagen">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xdr:colOff>
      <xdr:row>15</xdr:row>
      <xdr:rowOff>123825</xdr:rowOff>
    </xdr:from>
    <xdr:ext cx="7724775" cy="3714750"/>
    <xdr:pic>
      <xdr:nvPicPr>
        <xdr:cNvPr id="2" name="image24.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9525" y="7629525"/>
          <a:ext cx="7724775" cy="3714750"/>
        </a:xfrm>
        <a:prstGeom prst="rect">
          <a:avLst/>
        </a:prstGeom>
        <a:noFill/>
      </xdr:spPr>
    </xdr:pic>
    <xdr:clientData fLocksWithSheet="0"/>
  </xdr:oneCellAnchor>
  <xdr:oneCellAnchor>
    <xdr:from>
      <xdr:col>6</xdr:col>
      <xdr:colOff>95250</xdr:colOff>
      <xdr:row>16</xdr:row>
      <xdr:rowOff>95250</xdr:rowOff>
    </xdr:from>
    <xdr:ext cx="7524750" cy="3276600"/>
    <xdr:pic>
      <xdr:nvPicPr>
        <xdr:cNvPr id="3" name="image25.png" title="Imagen">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xfrm>
          <a:off x="7648575" y="7762875"/>
          <a:ext cx="7524750" cy="32766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5hxai" TargetMode="External"/><Relationship Id="rId3" Type="http://schemas.openxmlformats.org/officeDocument/2006/relationships/hyperlink" Target="https://www.asusbymacman.es/asus-s300ma-710700006t-i7-10700-16gb-512gb-pc-sobremesa-2550.html" TargetMode="External"/><Relationship Id="rId7" Type="http://schemas.openxmlformats.org/officeDocument/2006/relationships/hyperlink" Target="https://n9.cl/f0fza" TargetMode="External"/><Relationship Id="rId12" Type="http://schemas.openxmlformats.org/officeDocument/2006/relationships/hyperlink" Target="https://n9.cl/qsnck" TargetMode="External"/><Relationship Id="rId2" Type="http://schemas.openxmlformats.org/officeDocument/2006/relationships/hyperlink" Target="https://www.mediamarkt.es/es/product/_pc-sobremesa-asus-s340mf-i797000080-intel%C2%AE-core%E2%84%A2-i7-9700-16-gb-512-gb-ssd-graphics-630-freedos-negro-1485288.html" TargetMode="External"/><Relationship Id="rId1" Type="http://schemas.openxmlformats.org/officeDocument/2006/relationships/hyperlink" Target="https://support.lenovo.com/co/es/" TargetMode="External"/><Relationship Id="rId6" Type="http://schemas.openxmlformats.org/officeDocument/2006/relationships/hyperlink" Target="https://n9.cl/0nlcq" TargetMode="External"/><Relationship Id="rId11" Type="http://schemas.openxmlformats.org/officeDocument/2006/relationships/hyperlink" Target="https://n9.cl/yp4nx" TargetMode="External"/><Relationship Id="rId5" Type="http://schemas.openxmlformats.org/officeDocument/2006/relationships/hyperlink" Target="http://www.hp.com/" TargetMode="External"/><Relationship Id="rId10" Type="http://schemas.openxmlformats.org/officeDocument/2006/relationships/hyperlink" Target="https://n9.cl/ow6w2n" TargetMode="External"/><Relationship Id="rId4" Type="http://schemas.openxmlformats.org/officeDocument/2006/relationships/hyperlink" Target="http://www.logitech.com/" TargetMode="External"/><Relationship Id="rId9" Type="http://schemas.openxmlformats.org/officeDocument/2006/relationships/hyperlink" Target="https://www.hp.com/co-es/shop/monitores.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n9.cl/qsnck" TargetMode="External"/><Relationship Id="rId2" Type="http://schemas.openxmlformats.org/officeDocument/2006/relationships/hyperlink" Target="https://n9.cl/yp4nx" TargetMode="External"/><Relationship Id="rId1" Type="http://schemas.openxmlformats.org/officeDocument/2006/relationships/hyperlink" Target="https://n9.cl/ow6w2n"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n9.cl/rpykf" TargetMode="External"/><Relationship Id="rId2" Type="http://schemas.openxmlformats.org/officeDocument/2006/relationships/hyperlink" Target="https://n9.cl/ypikl" TargetMode="External"/><Relationship Id="rId1" Type="http://schemas.openxmlformats.org/officeDocument/2006/relationships/hyperlink" Target="https://n9.cl/59fne" TargetMode="External"/><Relationship Id="rId6" Type="http://schemas.openxmlformats.org/officeDocument/2006/relationships/hyperlink" Target="https://n9.cl/qsnck" TargetMode="External"/><Relationship Id="rId5" Type="http://schemas.openxmlformats.org/officeDocument/2006/relationships/hyperlink" Target="https://n9.cl/yp4nx" TargetMode="External"/><Relationship Id="rId4" Type="http://schemas.openxmlformats.org/officeDocument/2006/relationships/hyperlink" Target="https://n9.cl/ow6w2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9.cl/5hxai" TargetMode="External"/><Relationship Id="rId3" Type="http://schemas.openxmlformats.org/officeDocument/2006/relationships/hyperlink" Target="https://www.asusbymacman.es/asus-s300ma-710700006t-i7-10700-16gb-512gb-pc-sobremesa-2550.html" TargetMode="External"/><Relationship Id="rId7" Type="http://schemas.openxmlformats.org/officeDocument/2006/relationships/hyperlink" Target="https://n9.cl/f0fza" TargetMode="External"/><Relationship Id="rId12" Type="http://schemas.openxmlformats.org/officeDocument/2006/relationships/hyperlink" Target="https://n9.cl/qsnck" TargetMode="External"/><Relationship Id="rId2" Type="http://schemas.openxmlformats.org/officeDocument/2006/relationships/hyperlink" Target="https://www.mediamarkt.es/es/product/_pc-sobremesa-asus-s340mf-i797000080-intel%C2%AE-core%E2%84%A2-i7-9700-16-gb-512-gb-ssd-graphics-630-freedos-negro-1485288.html" TargetMode="External"/><Relationship Id="rId1" Type="http://schemas.openxmlformats.org/officeDocument/2006/relationships/hyperlink" Target="https://support.lenovo.com/co/es/" TargetMode="External"/><Relationship Id="rId6" Type="http://schemas.openxmlformats.org/officeDocument/2006/relationships/hyperlink" Target="https://n9.cl/0nlcq" TargetMode="External"/><Relationship Id="rId11" Type="http://schemas.openxmlformats.org/officeDocument/2006/relationships/hyperlink" Target="https://n9.cl/yp4nx" TargetMode="External"/><Relationship Id="rId5" Type="http://schemas.openxmlformats.org/officeDocument/2006/relationships/hyperlink" Target="http://www.hp.com/" TargetMode="External"/><Relationship Id="rId10" Type="http://schemas.openxmlformats.org/officeDocument/2006/relationships/hyperlink" Target="https://n9.cl/ow6w2n" TargetMode="External"/><Relationship Id="rId4" Type="http://schemas.openxmlformats.org/officeDocument/2006/relationships/hyperlink" Target="http://www.logitech.com/" TargetMode="External"/><Relationship Id="rId9" Type="http://schemas.openxmlformats.org/officeDocument/2006/relationships/hyperlink" Target="https://www.hp.com/co-es/shop/monitores.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rticulo.mercadolibre.com.co/MCO-1306116199-teclado-dell-negrocon-cable-usb104-teclas-_JM?matt_tool=19390127&amp;utm_source=google_shopping&amp;utm_medium=organic" TargetMode="External"/><Relationship Id="rId3" Type="http://schemas.openxmlformats.org/officeDocument/2006/relationships/hyperlink" Target="https://n9.cl/rpykf" TargetMode="External"/><Relationship Id="rId7" Type="http://schemas.openxmlformats.org/officeDocument/2006/relationships/hyperlink" Target="https://www.mercadolibre.com.co/teclado-bluetooth-logitech-master-series-mx-keys-mini-qwerty-espanol-color-grafito-con-luz-blanca/p/MCO24526187?product_trigger_id=MCO18931563&amp;pdp_filters=item_id%3AMCO1333831287&amp;applied_product_filters=MCO18931563&amp;quantity=1" TargetMode="External"/><Relationship Id="rId2" Type="http://schemas.openxmlformats.org/officeDocument/2006/relationships/hyperlink" Target="https://n9.cl/ypikl" TargetMode="External"/><Relationship Id="rId1" Type="http://schemas.openxmlformats.org/officeDocument/2006/relationships/hyperlink" Target="https://n9.cl/59fne" TargetMode="External"/><Relationship Id="rId6" Type="http://schemas.openxmlformats.org/officeDocument/2006/relationships/hyperlink" Target="https://n9.cl/qsnck" TargetMode="External"/><Relationship Id="rId5" Type="http://schemas.openxmlformats.org/officeDocument/2006/relationships/hyperlink" Target="https://n9.cl/yp4nx" TargetMode="External"/><Relationship Id="rId4" Type="http://schemas.openxmlformats.org/officeDocument/2006/relationships/hyperlink" Target="https://n9.cl/ow6w2n" TargetMode="External"/><Relationship Id="rId9" Type="http://schemas.openxmlformats.org/officeDocument/2006/relationships/hyperlink" Target="https://www.alkosto.com/teclado-hp-inalambrico-220-negro/p/197497177428?utm_source=google&amp;utm_medium=organic&amp;utm_campaign=Shopping-Organico&amp;srsltid=AfmBOopWqnjsejOgFB7tH4367CbItW7ijXpw9DfH8EwWyIPbFY3_4RpU_N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hostgator.co/web-hosting" TargetMode="External"/><Relationship Id="rId2" Type="http://schemas.openxmlformats.org/officeDocument/2006/relationships/hyperlink" Target="https://www.godaddy.com/es" TargetMode="External"/><Relationship Id="rId1" Type="http://schemas.openxmlformats.org/officeDocument/2006/relationships/hyperlink" Target="https://www.hostinger.com/es/1"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tulicencias.com/product/microsoft-office-2024-professional-plus/?currency=COP&amp;srsltid=AfmBOopzHJhpWWVwKrxV3GfdC-WUPmfr9vI51Roc1ymLtJgP09fq3hULFVo" TargetMode="External"/><Relationship Id="rId2" Type="http://schemas.openxmlformats.org/officeDocument/2006/relationships/hyperlink" Target="https://www.exito.com/licencia-office-365-5-dispositivos-124138321/p?idsku=124201262&amp;srsltid=AfmBOopGmWVpYMJe3DFKHcAxoTjqy3hF1vNzZPrf56tyTZGDKK6e5wnbJrI" TargetMode="External"/><Relationship Id="rId1" Type="http://schemas.openxmlformats.org/officeDocument/2006/relationships/hyperlink" Target="https://www.microsoft.com/es-co/microsoft-365/p/microsoft-365-familia/CFQ7TTC0K5DM/007P?OCID=AIDcmm6mu07qw1_seo_omc_goo&amp;source=googleshopping" TargetMode="External"/><Relationship Id="rId6" Type="http://schemas.openxmlformats.org/officeDocument/2006/relationships/hyperlink" Target="https://activatusoftware.com/" TargetMode="External"/><Relationship Id="rId5" Type="http://schemas.openxmlformats.org/officeDocument/2006/relationships/hyperlink" Target="https://colombiapc.com/product/windows-11-pro-licencia-original/?gad_source=1&amp;gad_campaignid=22328210296&amp;gbraid=0AAAAA_AoYCWBL0PC8IwwShs41PKoGassx&amp;gclid=CjwKCAjw7_DEBhAeEiwAWKiCC13nmYsQD7uZwd3C5OppdfQLZqEYsUzBOn1VhvSQ2RNeqo6xKUIuuhoCeesQAvD_BwE" TargetMode="External"/><Relationship Id="rId4" Type="http://schemas.openxmlformats.org/officeDocument/2006/relationships/hyperlink" Target="https://www.microsoft.com/es-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40" workbookViewId="0">
      <selection activeCell="E43" sqref="E43:I43"/>
    </sheetView>
  </sheetViews>
  <sheetFormatPr baseColWidth="10" defaultColWidth="12.5703125" defaultRowHeight="15" customHeight="1" x14ac:dyDescent="0.2"/>
  <cols>
    <col min="1" max="3" width="19.140625" customWidth="1"/>
    <col min="4" max="4" width="21.85546875" customWidth="1"/>
    <col min="5" max="6" width="17" customWidth="1"/>
    <col min="7" max="7" width="18" customWidth="1"/>
    <col min="8" max="8" width="17" customWidth="1"/>
    <col min="9" max="9" width="19.140625" customWidth="1"/>
    <col min="10" max="10" width="66" customWidth="1"/>
    <col min="11" max="25" width="10" customWidth="1"/>
  </cols>
  <sheetData>
    <row r="1" spans="1:25" ht="12.75" customHeight="1" x14ac:dyDescent="0.2">
      <c r="A1" s="1"/>
      <c r="B1" s="2"/>
      <c r="C1" s="2"/>
      <c r="D1" s="2"/>
      <c r="E1" s="3"/>
      <c r="F1" s="2"/>
      <c r="G1" s="2"/>
      <c r="H1" s="2"/>
      <c r="I1" s="2"/>
      <c r="J1" s="2"/>
      <c r="K1" s="2"/>
      <c r="L1" s="2"/>
      <c r="M1" s="2"/>
      <c r="N1" s="2"/>
      <c r="O1" s="2"/>
      <c r="P1" s="2"/>
      <c r="Q1" s="2"/>
      <c r="R1" s="2"/>
      <c r="S1" s="2"/>
      <c r="T1" s="2"/>
      <c r="U1" s="2"/>
      <c r="V1" s="2"/>
      <c r="W1" s="2"/>
      <c r="X1" s="2"/>
      <c r="Y1" s="2"/>
    </row>
    <row r="2" spans="1:25" ht="27.75" customHeight="1" x14ac:dyDescent="0.2">
      <c r="A2" s="2"/>
      <c r="B2" s="2"/>
      <c r="C2" s="2"/>
      <c r="D2" s="89" t="s">
        <v>0</v>
      </c>
      <c r="E2" s="90"/>
      <c r="F2" s="90"/>
      <c r="G2" s="90"/>
      <c r="H2" s="90"/>
      <c r="I2" s="2"/>
      <c r="J2" s="2"/>
      <c r="K2" s="2"/>
      <c r="L2" s="2"/>
      <c r="M2" s="2"/>
      <c r="N2" s="2"/>
      <c r="O2" s="2"/>
      <c r="P2" s="2"/>
      <c r="Q2" s="2"/>
      <c r="R2" s="2"/>
      <c r="S2" s="2"/>
      <c r="T2" s="2"/>
      <c r="U2" s="2"/>
      <c r="V2" s="2"/>
      <c r="W2" s="2"/>
      <c r="X2" s="2"/>
      <c r="Y2" s="2"/>
    </row>
    <row r="3" spans="1:25" ht="12.75" customHeight="1" x14ac:dyDescent="0.2">
      <c r="A3" s="2"/>
      <c r="B3" s="2"/>
      <c r="C3" s="2"/>
      <c r="D3" s="2"/>
      <c r="E3" s="3"/>
      <c r="F3" s="2"/>
      <c r="G3" s="2"/>
      <c r="H3" s="2"/>
      <c r="I3" s="2"/>
      <c r="J3" s="2"/>
      <c r="K3" s="2"/>
      <c r="L3" s="2"/>
      <c r="M3" s="2"/>
      <c r="N3" s="2"/>
      <c r="O3" s="2"/>
      <c r="P3" s="2"/>
      <c r="Q3" s="2"/>
      <c r="R3" s="2"/>
      <c r="S3" s="2"/>
      <c r="T3" s="2"/>
      <c r="U3" s="2"/>
      <c r="V3" s="2"/>
      <c r="W3" s="2"/>
      <c r="X3" s="2"/>
      <c r="Y3" s="2"/>
    </row>
    <row r="4" spans="1:25" ht="12.75" customHeight="1" x14ac:dyDescent="0.2">
      <c r="A4" s="2"/>
      <c r="B4" s="2"/>
      <c r="C4" s="2"/>
      <c r="D4" s="2"/>
      <c r="E4" s="3"/>
      <c r="F4" s="2"/>
      <c r="G4" s="2"/>
      <c r="H4" s="2"/>
      <c r="I4" s="2"/>
      <c r="J4" s="2"/>
      <c r="K4" s="2"/>
      <c r="L4" s="2"/>
      <c r="M4" s="2"/>
      <c r="N4" s="2"/>
      <c r="O4" s="2"/>
      <c r="P4" s="2"/>
      <c r="Q4" s="2"/>
      <c r="R4" s="2"/>
      <c r="S4" s="2"/>
      <c r="T4" s="2"/>
      <c r="U4" s="2"/>
      <c r="V4" s="2"/>
      <c r="W4" s="2"/>
      <c r="X4" s="2"/>
      <c r="Y4" s="2"/>
    </row>
    <row r="5" spans="1:25"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row>
    <row r="6" spans="1:25" ht="15.75" customHeight="1" x14ac:dyDescent="0.2">
      <c r="A6" s="2"/>
      <c r="B6" s="2"/>
      <c r="C6" s="2"/>
      <c r="D6" s="2"/>
      <c r="E6" s="3"/>
      <c r="F6" s="2"/>
      <c r="G6" s="2"/>
      <c r="H6" s="2"/>
      <c r="I6" s="2"/>
      <c r="J6" s="2"/>
      <c r="K6" s="2"/>
      <c r="L6" s="2"/>
      <c r="M6" s="2"/>
      <c r="N6" s="2"/>
      <c r="O6" s="2"/>
      <c r="P6" s="2"/>
      <c r="Q6" s="2"/>
      <c r="R6" s="2"/>
      <c r="S6" s="2"/>
      <c r="T6" s="2"/>
      <c r="U6" s="2"/>
      <c r="V6" s="2"/>
      <c r="W6" s="2"/>
      <c r="X6" s="2"/>
      <c r="Y6" s="2"/>
    </row>
    <row r="7" spans="1:25" ht="75.75" customHeight="1" x14ac:dyDescent="0.2">
      <c r="A7" s="4" t="s">
        <v>2</v>
      </c>
      <c r="B7" s="5" t="s">
        <v>3</v>
      </c>
      <c r="C7" s="6" t="s">
        <v>4</v>
      </c>
      <c r="D7" s="5" t="s">
        <v>5</v>
      </c>
      <c r="E7" s="7" t="s">
        <v>6</v>
      </c>
      <c r="F7" s="8" t="s">
        <v>7</v>
      </c>
      <c r="G7" s="9" t="s">
        <v>8</v>
      </c>
      <c r="H7" s="5" t="s">
        <v>9</v>
      </c>
      <c r="I7" s="5" t="s">
        <v>10</v>
      </c>
      <c r="J7" s="10" t="s">
        <v>11</v>
      </c>
      <c r="K7" s="11"/>
      <c r="L7" s="11"/>
      <c r="M7" s="11"/>
      <c r="N7" s="11"/>
      <c r="O7" s="11"/>
      <c r="P7" s="11"/>
      <c r="Q7" s="11"/>
      <c r="R7" s="11"/>
      <c r="S7" s="11"/>
      <c r="T7" s="11"/>
      <c r="U7" s="11"/>
      <c r="V7" s="11"/>
      <c r="W7" s="11"/>
      <c r="X7" s="11"/>
      <c r="Y7" s="11"/>
    </row>
    <row r="8" spans="1:25" ht="57.75" customHeight="1" x14ac:dyDescent="0.2">
      <c r="A8" s="12" t="s">
        <v>12</v>
      </c>
      <c r="B8" s="13" t="s">
        <v>13</v>
      </c>
      <c r="C8" s="14" t="s">
        <v>14</v>
      </c>
      <c r="D8" s="15" t="s">
        <v>15</v>
      </c>
      <c r="E8" s="16">
        <v>4195900</v>
      </c>
      <c r="F8" s="17">
        <f>E8</f>
        <v>4195900</v>
      </c>
      <c r="G8" s="17">
        <f>E8</f>
        <v>4195900</v>
      </c>
      <c r="H8" s="18"/>
      <c r="I8" s="19" t="s">
        <v>16</v>
      </c>
      <c r="J8" s="99" t="s">
        <v>17</v>
      </c>
      <c r="K8" s="2"/>
      <c r="L8" s="2"/>
      <c r="M8" s="2"/>
      <c r="N8" s="2"/>
      <c r="O8" s="2"/>
      <c r="P8" s="2"/>
      <c r="Q8" s="2"/>
      <c r="R8" s="2"/>
      <c r="S8" s="2"/>
      <c r="T8" s="2"/>
      <c r="U8" s="2"/>
      <c r="V8" s="2"/>
      <c r="W8" s="2"/>
      <c r="X8" s="2"/>
      <c r="Y8" s="2"/>
    </row>
    <row r="9" spans="1:25" ht="59.25" customHeight="1" x14ac:dyDescent="0.2">
      <c r="A9" s="20" t="s">
        <v>18</v>
      </c>
      <c r="B9" s="21" t="s">
        <v>19</v>
      </c>
      <c r="C9" s="22" t="s">
        <v>20</v>
      </c>
      <c r="D9" s="23" t="s">
        <v>21</v>
      </c>
      <c r="E9" s="24">
        <v>3671037</v>
      </c>
      <c r="F9" s="25">
        <v>3671037</v>
      </c>
      <c r="G9" s="24">
        <f>F9</f>
        <v>3671037</v>
      </c>
      <c r="H9" s="26"/>
      <c r="I9" s="98" t="s">
        <v>171</v>
      </c>
      <c r="J9" s="101" t="s">
        <v>22</v>
      </c>
      <c r="K9" s="2"/>
      <c r="L9" s="2"/>
      <c r="M9" s="2"/>
      <c r="N9" s="2"/>
      <c r="O9" s="2"/>
      <c r="P9" s="2"/>
      <c r="Q9" s="2"/>
      <c r="R9" s="2"/>
      <c r="S9" s="2"/>
      <c r="T9" s="2"/>
      <c r="U9" s="2"/>
      <c r="V9" s="2"/>
      <c r="W9" s="2"/>
      <c r="X9" s="2"/>
      <c r="Y9" s="2"/>
    </row>
    <row r="10" spans="1:25" ht="51.75" customHeight="1" x14ac:dyDescent="0.2">
      <c r="A10" s="12" t="s">
        <v>23</v>
      </c>
      <c r="B10" s="13" t="s">
        <v>24</v>
      </c>
      <c r="C10" s="27" t="s">
        <v>25</v>
      </c>
      <c r="D10" s="28" t="s">
        <v>26</v>
      </c>
      <c r="E10" s="17">
        <v>4377912</v>
      </c>
      <c r="F10" s="17">
        <v>4377912</v>
      </c>
      <c r="G10" s="17">
        <f>E10</f>
        <v>4377912</v>
      </c>
      <c r="H10" s="29"/>
      <c r="I10" s="13" t="s">
        <v>16</v>
      </c>
      <c r="J10" s="100" t="s">
        <v>27</v>
      </c>
      <c r="K10" s="2"/>
      <c r="L10" s="2"/>
      <c r="M10" s="2"/>
      <c r="N10" s="2"/>
      <c r="O10" s="2"/>
      <c r="P10" s="2"/>
      <c r="Q10" s="2"/>
      <c r="R10" s="2"/>
      <c r="S10" s="2"/>
      <c r="T10" s="2"/>
      <c r="U10" s="2"/>
      <c r="V10" s="2"/>
      <c r="W10" s="2"/>
      <c r="X10" s="2"/>
      <c r="Y10" s="2"/>
    </row>
    <row r="11" spans="1:25" ht="15" hidden="1" customHeight="1" x14ac:dyDescent="0.2">
      <c r="A11" s="30"/>
      <c r="B11" s="31"/>
      <c r="C11" s="31"/>
      <c r="D11" s="31"/>
      <c r="E11" s="32"/>
      <c r="F11" s="31"/>
      <c r="G11" s="31"/>
      <c r="H11" s="31"/>
      <c r="I11" s="31"/>
      <c r="J11" s="31"/>
      <c r="K11" s="2"/>
      <c r="L11" s="2"/>
      <c r="M11" s="2"/>
      <c r="N11" s="2"/>
      <c r="O11" s="2"/>
      <c r="P11" s="2"/>
      <c r="Q11" s="2"/>
      <c r="R11" s="2"/>
      <c r="S11" s="2"/>
      <c r="T11" s="2"/>
      <c r="U11" s="2"/>
      <c r="V11" s="2"/>
      <c r="W11" s="2"/>
      <c r="X11" s="2"/>
      <c r="Y11" s="2"/>
    </row>
    <row r="12" spans="1:25" ht="12.75" customHeight="1" x14ac:dyDescent="0.2">
      <c r="A12" s="2"/>
      <c r="B12" s="2"/>
      <c r="C12" s="2"/>
      <c r="D12" s="2"/>
      <c r="E12" s="3"/>
      <c r="F12" s="2"/>
      <c r="G12" s="2"/>
      <c r="H12" s="2"/>
      <c r="I12" s="2"/>
      <c r="J12" s="2"/>
      <c r="K12" s="2"/>
      <c r="L12" s="2"/>
      <c r="M12" s="2"/>
      <c r="N12" s="2"/>
      <c r="O12" s="2"/>
      <c r="P12" s="2"/>
      <c r="Q12" s="2"/>
      <c r="R12" s="2"/>
      <c r="S12" s="2"/>
      <c r="T12" s="2"/>
      <c r="U12" s="2"/>
      <c r="V12" s="2"/>
      <c r="W12" s="2"/>
      <c r="X12" s="2"/>
      <c r="Y12" s="2"/>
    </row>
    <row r="13" spans="1:25" ht="138.75" customHeight="1" x14ac:dyDescent="0.2">
      <c r="A13" s="94" t="s">
        <v>28</v>
      </c>
      <c r="B13" s="92"/>
      <c r="C13" s="92"/>
      <c r="D13" s="92"/>
      <c r="E13" s="92"/>
      <c r="F13" s="92"/>
      <c r="G13" s="92"/>
      <c r="H13" s="92"/>
      <c r="I13" s="92"/>
      <c r="J13" s="93"/>
      <c r="K13" s="2"/>
      <c r="L13" s="2"/>
      <c r="M13" s="2"/>
      <c r="N13" s="2"/>
      <c r="O13" s="2"/>
      <c r="P13" s="2"/>
      <c r="Q13" s="2"/>
      <c r="R13" s="2"/>
      <c r="S13" s="2"/>
      <c r="T13" s="2"/>
      <c r="U13" s="2"/>
      <c r="V13" s="2"/>
      <c r="W13" s="2"/>
      <c r="X13" s="2"/>
      <c r="Y13" s="2"/>
    </row>
    <row r="14" spans="1:25" ht="10.5" customHeight="1" x14ac:dyDescent="0.2">
      <c r="A14" s="2"/>
      <c r="B14" s="2"/>
      <c r="C14" s="2"/>
      <c r="D14" s="2"/>
      <c r="E14" s="3"/>
      <c r="F14" s="2"/>
      <c r="G14" s="2"/>
      <c r="H14" s="2"/>
      <c r="I14" s="2"/>
      <c r="J14" s="2"/>
      <c r="K14" s="2"/>
      <c r="L14" s="2"/>
      <c r="M14" s="2"/>
      <c r="N14" s="2"/>
      <c r="O14" s="2"/>
      <c r="P14" s="2"/>
      <c r="Q14" s="2"/>
      <c r="R14" s="2"/>
      <c r="S14" s="2"/>
      <c r="T14" s="2"/>
      <c r="U14" s="2"/>
      <c r="V14" s="2"/>
      <c r="W14" s="2"/>
      <c r="X14" s="2"/>
      <c r="Y14" s="2"/>
    </row>
    <row r="15" spans="1:25" ht="14.25" customHeight="1" x14ac:dyDescent="0.2">
      <c r="A15" s="95"/>
      <c r="B15" s="96"/>
      <c r="C15" s="96"/>
      <c r="D15" s="96"/>
      <c r="E15" s="96"/>
      <c r="F15" s="96"/>
      <c r="G15" s="96"/>
      <c r="H15" s="96"/>
      <c r="I15" s="96"/>
      <c r="J15" s="96"/>
      <c r="K15" s="2"/>
      <c r="L15" s="2"/>
      <c r="M15" s="2"/>
      <c r="N15" s="2"/>
      <c r="O15" s="2"/>
      <c r="P15" s="2"/>
      <c r="Q15" s="2"/>
      <c r="R15" s="2"/>
      <c r="S15" s="2"/>
      <c r="T15" s="2"/>
      <c r="U15" s="2"/>
      <c r="V15" s="2"/>
      <c r="W15" s="2"/>
      <c r="X15" s="2"/>
      <c r="Y15" s="2"/>
    </row>
    <row r="16" spans="1:25" ht="12.75" customHeight="1" x14ac:dyDescent="0.2">
      <c r="A16" s="2"/>
      <c r="B16" s="2"/>
      <c r="C16" s="2"/>
      <c r="D16" s="2"/>
      <c r="E16" s="3"/>
      <c r="F16" s="2"/>
      <c r="G16" s="2"/>
      <c r="H16" s="2"/>
      <c r="I16" s="2"/>
      <c r="J16" s="2"/>
      <c r="K16" s="2"/>
      <c r="L16" s="2"/>
      <c r="M16" s="2"/>
      <c r="N16" s="2"/>
      <c r="O16" s="2"/>
      <c r="P16" s="2"/>
      <c r="Q16" s="2"/>
      <c r="R16" s="2"/>
      <c r="S16" s="2"/>
      <c r="T16" s="2"/>
      <c r="U16" s="2"/>
      <c r="V16" s="2"/>
      <c r="W16" s="2"/>
      <c r="X16" s="2"/>
      <c r="Y16" s="2"/>
    </row>
    <row r="17" spans="1:10" ht="12.75" customHeight="1" x14ac:dyDescent="0.2">
      <c r="D17" s="2"/>
      <c r="E17" s="97" t="s">
        <v>173</v>
      </c>
      <c r="F17" s="90"/>
      <c r="G17" s="90"/>
      <c r="H17" s="90"/>
      <c r="I17" s="90"/>
    </row>
    <row r="18" spans="1:10" ht="12.75" customHeight="1" x14ac:dyDescent="0.2">
      <c r="D18" s="2"/>
      <c r="E18" s="3"/>
      <c r="F18" s="2"/>
      <c r="G18" s="2"/>
    </row>
    <row r="19" spans="1:10" ht="12.75" customHeight="1" x14ac:dyDescent="0.2">
      <c r="D19" s="2"/>
      <c r="E19" s="3"/>
      <c r="F19" s="2"/>
      <c r="G19" s="2"/>
    </row>
    <row r="20" spans="1:10" ht="46.5" customHeight="1" x14ac:dyDescent="0.2">
      <c r="A20" s="4" t="s">
        <v>2</v>
      </c>
      <c r="B20" s="6" t="s">
        <v>29</v>
      </c>
      <c r="C20" s="6" t="s">
        <v>30</v>
      </c>
      <c r="D20" s="6" t="s">
        <v>31</v>
      </c>
      <c r="E20" s="6" t="s">
        <v>32</v>
      </c>
      <c r="F20" s="8" t="s">
        <v>33</v>
      </c>
      <c r="G20" s="9" t="s">
        <v>34</v>
      </c>
      <c r="H20" s="6" t="s">
        <v>9</v>
      </c>
      <c r="I20" s="6" t="s">
        <v>35</v>
      </c>
      <c r="J20" s="6" t="s">
        <v>36</v>
      </c>
    </row>
    <row r="21" spans="1:10" ht="50.25" customHeight="1" x14ac:dyDescent="0.2">
      <c r="A21" s="12" t="s">
        <v>12</v>
      </c>
      <c r="B21" s="72" t="s">
        <v>49</v>
      </c>
      <c r="C21" s="51" t="s">
        <v>50</v>
      </c>
      <c r="D21" s="72" t="s">
        <v>51</v>
      </c>
      <c r="E21" s="39">
        <v>89900</v>
      </c>
      <c r="F21" s="39">
        <f>E21*19%</f>
        <v>17081</v>
      </c>
      <c r="G21" s="39">
        <f>E21+F21</f>
        <v>106981</v>
      </c>
      <c r="H21" s="39">
        <f t="shared" ref="H21:H23" si="0">G21</f>
        <v>106981</v>
      </c>
      <c r="I21" s="72" t="s">
        <v>16</v>
      </c>
      <c r="J21" s="72" t="s">
        <v>52</v>
      </c>
    </row>
    <row r="22" spans="1:10" ht="32.25" customHeight="1" x14ac:dyDescent="0.2">
      <c r="A22" s="12" t="s">
        <v>18</v>
      </c>
      <c r="B22" s="82" t="s">
        <v>44</v>
      </c>
      <c r="C22" s="53" t="s">
        <v>53</v>
      </c>
      <c r="D22" s="72" t="s">
        <v>54</v>
      </c>
      <c r="E22" s="39">
        <v>79000</v>
      </c>
      <c r="F22" s="39">
        <f>E22*19%</f>
        <v>15010</v>
      </c>
      <c r="G22" s="39">
        <f>F22+E22</f>
        <v>94010</v>
      </c>
      <c r="H22" s="39">
        <f t="shared" si="0"/>
        <v>94010</v>
      </c>
      <c r="I22" s="72" t="s">
        <v>16</v>
      </c>
      <c r="J22" s="50" t="s">
        <v>55</v>
      </c>
    </row>
    <row r="23" spans="1:10" ht="51.75" customHeight="1" x14ac:dyDescent="0.2">
      <c r="A23" s="42" t="s">
        <v>23</v>
      </c>
      <c r="B23" s="61" t="s">
        <v>56</v>
      </c>
      <c r="C23" s="54" t="s">
        <v>57</v>
      </c>
      <c r="D23" s="61" t="s">
        <v>58</v>
      </c>
      <c r="E23" s="46">
        <v>40900</v>
      </c>
      <c r="F23" s="46">
        <f>E23*19%</f>
        <v>7771</v>
      </c>
      <c r="G23" s="46">
        <f>E23+F23</f>
        <v>48671</v>
      </c>
      <c r="H23" s="46">
        <f t="shared" si="0"/>
        <v>48671</v>
      </c>
      <c r="I23" s="61" t="s">
        <v>16</v>
      </c>
      <c r="J23" s="47" t="s">
        <v>59</v>
      </c>
    </row>
    <row r="24" spans="1:10" ht="12.75" customHeight="1" x14ac:dyDescent="0.2">
      <c r="D24" s="2"/>
      <c r="E24" s="3"/>
      <c r="F24" s="2"/>
      <c r="G24" s="2"/>
    </row>
    <row r="25" spans="1:10" ht="12.75" customHeight="1" x14ac:dyDescent="0.2">
      <c r="D25" s="2"/>
      <c r="E25" s="3"/>
      <c r="F25" s="2"/>
      <c r="G25" s="2"/>
    </row>
    <row r="26" spans="1:10" ht="12.75" customHeight="1" x14ac:dyDescent="0.2">
      <c r="D26" s="33"/>
      <c r="E26" s="34"/>
      <c r="F26" s="1"/>
      <c r="G26" s="1"/>
    </row>
    <row r="27" spans="1:10" ht="12.75" customHeight="1" x14ac:dyDescent="0.2">
      <c r="D27" s="2"/>
      <c r="E27" s="3"/>
      <c r="F27" s="2"/>
      <c r="G27" s="2"/>
    </row>
    <row r="28" spans="1:10" ht="12.75" customHeight="1" x14ac:dyDescent="0.2">
      <c r="D28" s="2"/>
      <c r="E28" s="97" t="s">
        <v>174</v>
      </c>
      <c r="F28" s="90"/>
      <c r="G28" s="90"/>
      <c r="H28" s="90"/>
      <c r="I28" s="90"/>
    </row>
    <row r="29" spans="1:10" ht="12.75" customHeight="1" x14ac:dyDescent="0.2">
      <c r="D29" s="2"/>
      <c r="E29" s="3"/>
      <c r="F29" s="2"/>
      <c r="G29" s="2"/>
    </row>
    <row r="30" spans="1:10" ht="12.75" customHeight="1" x14ac:dyDescent="0.2">
      <c r="D30" s="2"/>
      <c r="E30" s="3"/>
      <c r="F30" s="2"/>
      <c r="G30" s="2"/>
    </row>
    <row r="31" spans="1:10" ht="9" customHeight="1" x14ac:dyDescent="0.2">
      <c r="D31" s="2"/>
      <c r="E31" s="3"/>
      <c r="F31" s="2"/>
      <c r="G31" s="2"/>
    </row>
    <row r="32" spans="1:10" ht="12.75" hidden="1" customHeight="1" x14ac:dyDescent="0.2">
      <c r="D32" s="2"/>
      <c r="E32" s="3"/>
      <c r="F32" s="2"/>
      <c r="G32" s="2"/>
    </row>
    <row r="33" spans="1:10" ht="12.75" hidden="1" customHeight="1" x14ac:dyDescent="0.2">
      <c r="E33" s="3"/>
    </row>
    <row r="34" spans="1:10" ht="1.5" customHeight="1" x14ac:dyDescent="0.2">
      <c r="E34" s="3"/>
    </row>
    <row r="35" spans="1:10" ht="66" customHeight="1" x14ac:dyDescent="0.2">
      <c r="A35" s="4" t="s">
        <v>2</v>
      </c>
      <c r="B35" s="6" t="s">
        <v>29</v>
      </c>
      <c r="C35" s="10" t="s">
        <v>30</v>
      </c>
      <c r="D35" s="6" t="s">
        <v>31</v>
      </c>
      <c r="E35" s="6" t="s">
        <v>32</v>
      </c>
      <c r="F35" s="8" t="s">
        <v>33</v>
      </c>
      <c r="G35" s="9" t="s">
        <v>34</v>
      </c>
      <c r="H35" s="6" t="s">
        <v>9</v>
      </c>
      <c r="I35" s="6" t="s">
        <v>35</v>
      </c>
      <c r="J35" s="6" t="s">
        <v>36</v>
      </c>
    </row>
    <row r="36" spans="1:10" ht="62.25" customHeight="1" x14ac:dyDescent="0.2">
      <c r="A36" s="12" t="s">
        <v>12</v>
      </c>
      <c r="B36" s="35" t="s">
        <v>37</v>
      </c>
      <c r="C36" s="36" t="s">
        <v>38</v>
      </c>
      <c r="D36" s="37" t="s">
        <v>39</v>
      </c>
      <c r="E36" s="39">
        <v>484000</v>
      </c>
      <c r="F36" s="39">
        <f t="shared" ref="F36:F38" si="1">E36*19%</f>
        <v>91960</v>
      </c>
      <c r="G36" s="39">
        <f t="shared" ref="G36:G37" si="2">E36+F36</f>
        <v>575960</v>
      </c>
      <c r="H36" s="39">
        <f t="shared" ref="H36:H37" si="3">G36</f>
        <v>575960</v>
      </c>
      <c r="I36" s="72" t="s">
        <v>16</v>
      </c>
      <c r="J36" s="41" t="s">
        <v>40</v>
      </c>
    </row>
    <row r="37" spans="1:10" ht="66" customHeight="1" x14ac:dyDescent="0.2">
      <c r="A37" s="42" t="s">
        <v>18</v>
      </c>
      <c r="B37" s="61" t="s">
        <v>13</v>
      </c>
      <c r="C37" s="44" t="s">
        <v>41</v>
      </c>
      <c r="D37" s="47" t="s">
        <v>42</v>
      </c>
      <c r="E37" s="46">
        <v>721900</v>
      </c>
      <c r="F37" s="46">
        <f t="shared" si="1"/>
        <v>137161</v>
      </c>
      <c r="G37" s="46">
        <f t="shared" si="2"/>
        <v>859061</v>
      </c>
      <c r="H37" s="46">
        <f t="shared" si="3"/>
        <v>859061</v>
      </c>
      <c r="I37" s="61" t="s">
        <v>16</v>
      </c>
      <c r="J37" s="47" t="s">
        <v>43</v>
      </c>
    </row>
    <row r="38" spans="1:10" ht="74.25" customHeight="1" x14ac:dyDescent="0.2">
      <c r="A38" s="12" t="s">
        <v>23</v>
      </c>
      <c r="B38" s="48" t="s">
        <v>44</v>
      </c>
      <c r="C38" s="49" t="s">
        <v>45</v>
      </c>
      <c r="D38" s="50" t="s">
        <v>46</v>
      </c>
      <c r="E38" s="39">
        <v>939900</v>
      </c>
      <c r="F38" s="39">
        <f t="shared" si="1"/>
        <v>178581</v>
      </c>
      <c r="G38" s="39">
        <f t="shared" ref="G38:H38" si="4">F38</f>
        <v>178581</v>
      </c>
      <c r="H38" s="39">
        <f t="shared" si="4"/>
        <v>178581</v>
      </c>
      <c r="I38" s="72" t="s">
        <v>47</v>
      </c>
      <c r="J38" s="50" t="s">
        <v>48</v>
      </c>
    </row>
    <row r="39" spans="1:10" ht="12.75" customHeight="1" x14ac:dyDescent="0.2">
      <c r="E39" s="3"/>
    </row>
    <row r="40" spans="1:10" ht="12.75" customHeight="1" x14ac:dyDescent="0.2">
      <c r="E40" s="3"/>
    </row>
    <row r="41" spans="1:10" ht="12.75" customHeight="1" x14ac:dyDescent="0.2">
      <c r="E41" s="3"/>
    </row>
    <row r="42" spans="1:10" ht="12.75" customHeight="1" x14ac:dyDescent="0.2">
      <c r="E42" s="3"/>
    </row>
    <row r="43" spans="1:10" ht="12.75" customHeight="1" x14ac:dyDescent="0.2">
      <c r="E43" s="97" t="s">
        <v>175</v>
      </c>
      <c r="F43" s="90"/>
      <c r="G43" s="90"/>
      <c r="H43" s="90"/>
      <c r="I43" s="90"/>
    </row>
    <row r="44" spans="1:10" ht="11.25" customHeight="1" x14ac:dyDescent="0.2">
      <c r="E44" s="3"/>
    </row>
    <row r="45" spans="1:10" ht="3.75" hidden="1" customHeight="1" x14ac:dyDescent="0.2">
      <c r="E45" s="3"/>
    </row>
    <row r="46" spans="1:10" ht="81" customHeight="1" x14ac:dyDescent="0.2">
      <c r="A46" s="4" t="s">
        <v>2</v>
      </c>
      <c r="B46" s="6" t="s">
        <v>29</v>
      </c>
      <c r="C46" s="6" t="s">
        <v>30</v>
      </c>
      <c r="D46" s="10" t="s">
        <v>31</v>
      </c>
      <c r="E46" s="6" t="s">
        <v>32</v>
      </c>
      <c r="F46" s="8" t="s">
        <v>33</v>
      </c>
      <c r="G46" s="9" t="s">
        <v>60</v>
      </c>
      <c r="H46" s="6" t="s">
        <v>9</v>
      </c>
      <c r="I46" s="6" t="s">
        <v>35</v>
      </c>
      <c r="J46" s="6" t="s">
        <v>36</v>
      </c>
    </row>
    <row r="47" spans="1:10" ht="61.5" customHeight="1" x14ac:dyDescent="0.2">
      <c r="A47" s="12" t="s">
        <v>12</v>
      </c>
      <c r="B47" s="72" t="s">
        <v>49</v>
      </c>
      <c r="C47" s="55" t="s">
        <v>61</v>
      </c>
      <c r="D47" s="56" t="s">
        <v>62</v>
      </c>
      <c r="E47" s="63">
        <v>229900</v>
      </c>
      <c r="F47" s="39">
        <f>E47*19%</f>
        <v>43681</v>
      </c>
      <c r="G47" s="39">
        <f>E47+F47</f>
        <v>273581</v>
      </c>
      <c r="H47" s="39">
        <f>G47</f>
        <v>273581</v>
      </c>
      <c r="I47" s="72" t="s">
        <v>16</v>
      </c>
      <c r="J47" s="72" t="s">
        <v>63</v>
      </c>
    </row>
    <row r="48" spans="1:10" ht="60.75" customHeight="1" x14ac:dyDescent="0.2">
      <c r="A48" s="12" t="s">
        <v>18</v>
      </c>
      <c r="B48" s="82" t="s">
        <v>44</v>
      </c>
      <c r="C48" s="58" t="s">
        <v>53</v>
      </c>
      <c r="D48" s="59" t="s">
        <v>54</v>
      </c>
      <c r="E48" s="39">
        <v>79000</v>
      </c>
      <c r="F48" s="39">
        <v>15010</v>
      </c>
      <c r="G48" s="39">
        <f t="shared" ref="G48:G49" si="5">E48</f>
        <v>79000</v>
      </c>
      <c r="H48" s="39">
        <f>E48</f>
        <v>79000</v>
      </c>
      <c r="I48" s="72" t="s">
        <v>16</v>
      </c>
      <c r="J48" s="72" t="s">
        <v>64</v>
      </c>
    </row>
    <row r="49" spans="1:10" ht="67.5" customHeight="1" x14ac:dyDescent="0.2">
      <c r="A49" s="42" t="s">
        <v>23</v>
      </c>
      <c r="B49" s="61" t="s">
        <v>65</v>
      </c>
      <c r="C49" s="60" t="s">
        <v>66</v>
      </c>
      <c r="D49" s="61" t="s">
        <v>67</v>
      </c>
      <c r="E49" s="46">
        <v>65518</v>
      </c>
      <c r="F49" s="46">
        <v>0</v>
      </c>
      <c r="G49" s="46">
        <f t="shared" si="5"/>
        <v>65518</v>
      </c>
      <c r="H49" s="46">
        <f>G49</f>
        <v>65518</v>
      </c>
      <c r="I49" s="61" t="s">
        <v>16</v>
      </c>
      <c r="J49" s="61"/>
    </row>
    <row r="50" spans="1:10" ht="12.75" customHeight="1" x14ac:dyDescent="0.2">
      <c r="E50" s="3"/>
    </row>
    <row r="51" spans="1:10" ht="12.75" customHeight="1" x14ac:dyDescent="0.2">
      <c r="E51" s="3"/>
    </row>
    <row r="52" spans="1:10" ht="12.75" customHeight="1" x14ac:dyDescent="0.2">
      <c r="E52" s="3"/>
    </row>
    <row r="53" spans="1:10" ht="12.75" customHeight="1" x14ac:dyDescent="0.2">
      <c r="E53" s="3"/>
    </row>
    <row r="54" spans="1:10" ht="12.75" customHeight="1" x14ac:dyDescent="0.2">
      <c r="E54" s="3"/>
    </row>
    <row r="55" spans="1:10" ht="12.75" customHeight="1" x14ac:dyDescent="0.2">
      <c r="E55" s="3"/>
    </row>
    <row r="56" spans="1:10" ht="12.75" customHeight="1" x14ac:dyDescent="0.2">
      <c r="E56" s="3"/>
    </row>
    <row r="57" spans="1:10" ht="12.75" customHeight="1" x14ac:dyDescent="0.2">
      <c r="E57" s="3"/>
    </row>
    <row r="58" spans="1:10" ht="12.75" customHeight="1" x14ac:dyDescent="0.2">
      <c r="E58" s="3"/>
    </row>
    <row r="59" spans="1:10" ht="12.75" customHeight="1" x14ac:dyDescent="0.2">
      <c r="E59" s="3"/>
    </row>
    <row r="60" spans="1:10" ht="12.75" customHeight="1" x14ac:dyDescent="0.2">
      <c r="E60" s="3"/>
    </row>
    <row r="61" spans="1:10" ht="12.75" customHeight="1" x14ac:dyDescent="0.2">
      <c r="E61" s="3"/>
    </row>
    <row r="62" spans="1:10" ht="12.75" customHeight="1" x14ac:dyDescent="0.2">
      <c r="E62" s="3"/>
    </row>
    <row r="63" spans="1:10" ht="12.75" customHeight="1" x14ac:dyDescent="0.2">
      <c r="E63" s="3"/>
    </row>
    <row r="64" spans="1:10" ht="12.75" customHeight="1" x14ac:dyDescent="0.2">
      <c r="E64" s="3"/>
    </row>
    <row r="65" spans="5:5" ht="12.75" customHeight="1" x14ac:dyDescent="0.2">
      <c r="E65" s="3"/>
    </row>
    <row r="66" spans="5:5" ht="12.75" customHeight="1" x14ac:dyDescent="0.2">
      <c r="E66" s="3"/>
    </row>
    <row r="67" spans="5:5" ht="12.75" customHeight="1" x14ac:dyDescent="0.2">
      <c r="E67" s="3"/>
    </row>
    <row r="68" spans="5:5" ht="12.75" customHeight="1" x14ac:dyDescent="0.2">
      <c r="E68" s="3"/>
    </row>
    <row r="69" spans="5:5" ht="12.75" customHeight="1" x14ac:dyDescent="0.2">
      <c r="E69" s="3"/>
    </row>
    <row r="70" spans="5:5" ht="12.75" customHeight="1" x14ac:dyDescent="0.2">
      <c r="E70" s="3"/>
    </row>
    <row r="71" spans="5:5" ht="12.75" customHeight="1" x14ac:dyDescent="0.2">
      <c r="E71" s="3"/>
    </row>
    <row r="72" spans="5:5" ht="12.75" customHeight="1" x14ac:dyDescent="0.2">
      <c r="E72" s="3"/>
    </row>
    <row r="73" spans="5:5" ht="12.75" customHeight="1" x14ac:dyDescent="0.2">
      <c r="E73" s="3"/>
    </row>
    <row r="74" spans="5:5" ht="12.75" customHeight="1" x14ac:dyDescent="0.2">
      <c r="E74" s="3"/>
    </row>
    <row r="75" spans="5:5" ht="12.75" customHeight="1" x14ac:dyDescent="0.2">
      <c r="E75" s="3"/>
    </row>
    <row r="76" spans="5:5" ht="12.75" customHeight="1" x14ac:dyDescent="0.2">
      <c r="E76" s="3"/>
    </row>
    <row r="77" spans="5:5" ht="12.75" customHeight="1" x14ac:dyDescent="0.2">
      <c r="E77" s="3"/>
    </row>
    <row r="78" spans="5:5" ht="12.75" customHeight="1" x14ac:dyDescent="0.2">
      <c r="E78" s="3"/>
    </row>
    <row r="79" spans="5:5" ht="12.75" customHeight="1" x14ac:dyDescent="0.2">
      <c r="E79" s="3"/>
    </row>
    <row r="80" spans="5:5" ht="12.75" customHeight="1" x14ac:dyDescent="0.2">
      <c r="E80" s="3"/>
    </row>
    <row r="81" spans="5:5" ht="12.75" customHeight="1" x14ac:dyDescent="0.2">
      <c r="E81" s="3"/>
    </row>
    <row r="82" spans="5:5" ht="12.75" customHeight="1" x14ac:dyDescent="0.2">
      <c r="E82" s="3"/>
    </row>
    <row r="83" spans="5:5" ht="12.75" customHeight="1" x14ac:dyDescent="0.2">
      <c r="E83" s="3"/>
    </row>
    <row r="84" spans="5:5" ht="12.75" customHeight="1" x14ac:dyDescent="0.2">
      <c r="E84" s="3"/>
    </row>
    <row r="85" spans="5:5" ht="12.75" customHeight="1" x14ac:dyDescent="0.2">
      <c r="E85" s="3"/>
    </row>
    <row r="86" spans="5:5" ht="12.75" customHeight="1" x14ac:dyDescent="0.2">
      <c r="E86" s="3"/>
    </row>
    <row r="87" spans="5:5" ht="12.75" customHeight="1" x14ac:dyDescent="0.2">
      <c r="E87" s="3"/>
    </row>
    <row r="88" spans="5:5" ht="12.75" customHeight="1" x14ac:dyDescent="0.2">
      <c r="E88" s="3"/>
    </row>
    <row r="89" spans="5:5" ht="12.75" customHeight="1" x14ac:dyDescent="0.2">
      <c r="E89" s="3"/>
    </row>
    <row r="90" spans="5:5" ht="12.75" customHeight="1" x14ac:dyDescent="0.2">
      <c r="E90" s="3"/>
    </row>
    <row r="91" spans="5:5" ht="12.75" customHeight="1" x14ac:dyDescent="0.2">
      <c r="E91" s="3"/>
    </row>
    <row r="92" spans="5:5" ht="12.75" customHeight="1" x14ac:dyDescent="0.2">
      <c r="E92" s="3"/>
    </row>
    <row r="93" spans="5:5" ht="12.75" customHeight="1" x14ac:dyDescent="0.2">
      <c r="E93" s="3"/>
    </row>
    <row r="94" spans="5:5" ht="12.75" customHeight="1" x14ac:dyDescent="0.2">
      <c r="E94" s="3"/>
    </row>
    <row r="95" spans="5:5" ht="12.75" customHeight="1" x14ac:dyDescent="0.2">
      <c r="E95" s="3"/>
    </row>
    <row r="96" spans="5:5" ht="12.75" customHeight="1" x14ac:dyDescent="0.2">
      <c r="E96" s="3"/>
    </row>
    <row r="97" spans="5:5" ht="12.75" customHeight="1" x14ac:dyDescent="0.2">
      <c r="E97" s="3"/>
    </row>
    <row r="98" spans="5:5" ht="12.75" customHeight="1" x14ac:dyDescent="0.2">
      <c r="E98" s="3"/>
    </row>
    <row r="99" spans="5:5" ht="12.75" customHeight="1" x14ac:dyDescent="0.2">
      <c r="E99" s="3"/>
    </row>
    <row r="100" spans="5:5" ht="12.75" customHeight="1" x14ac:dyDescent="0.2">
      <c r="E100" s="3"/>
    </row>
    <row r="101" spans="5:5" ht="12.75" customHeight="1" x14ac:dyDescent="0.2">
      <c r="E101" s="3"/>
    </row>
    <row r="102" spans="5:5" ht="12.75" customHeight="1" x14ac:dyDescent="0.2">
      <c r="E102" s="3"/>
    </row>
    <row r="103" spans="5:5" ht="12.75" customHeight="1" x14ac:dyDescent="0.2">
      <c r="E103" s="3"/>
    </row>
    <row r="104" spans="5:5" ht="12.75" customHeight="1" x14ac:dyDescent="0.2">
      <c r="E104" s="3"/>
    </row>
    <row r="105" spans="5:5" ht="12.75" customHeight="1" x14ac:dyDescent="0.2">
      <c r="E105" s="3"/>
    </row>
    <row r="106" spans="5:5" ht="12.75" customHeight="1" x14ac:dyDescent="0.2">
      <c r="E106" s="3"/>
    </row>
    <row r="107" spans="5:5" ht="12.75" customHeight="1" x14ac:dyDescent="0.2">
      <c r="E107" s="3"/>
    </row>
    <row r="108" spans="5:5" ht="12.75" customHeight="1" x14ac:dyDescent="0.2">
      <c r="E108" s="3"/>
    </row>
    <row r="109" spans="5:5" ht="12.75" customHeight="1" x14ac:dyDescent="0.2">
      <c r="E109" s="3"/>
    </row>
    <row r="110" spans="5:5" ht="12.75" customHeight="1" x14ac:dyDescent="0.2">
      <c r="E110" s="3"/>
    </row>
    <row r="111" spans="5:5" ht="12.75" customHeight="1" x14ac:dyDescent="0.2">
      <c r="E111" s="3"/>
    </row>
    <row r="112" spans="5:5" ht="12.75" customHeight="1" x14ac:dyDescent="0.2">
      <c r="E112" s="3"/>
    </row>
    <row r="113" spans="5:5" ht="12.75" customHeight="1" x14ac:dyDescent="0.2">
      <c r="E113" s="3"/>
    </row>
    <row r="114" spans="5:5" ht="12.75" customHeight="1" x14ac:dyDescent="0.2">
      <c r="E114" s="3"/>
    </row>
    <row r="115" spans="5:5" ht="12.75" customHeight="1" x14ac:dyDescent="0.2">
      <c r="E115" s="3"/>
    </row>
    <row r="116" spans="5:5" ht="12.75" customHeight="1" x14ac:dyDescent="0.2">
      <c r="E116" s="3"/>
    </row>
    <row r="117" spans="5:5" ht="12.75" customHeight="1" x14ac:dyDescent="0.2">
      <c r="E117" s="3"/>
    </row>
    <row r="118" spans="5:5" ht="12.75" customHeight="1" x14ac:dyDescent="0.2">
      <c r="E118" s="3"/>
    </row>
    <row r="119" spans="5:5" ht="12.75" customHeight="1" x14ac:dyDescent="0.2">
      <c r="E119" s="3"/>
    </row>
    <row r="120" spans="5:5" ht="12.75" customHeight="1" x14ac:dyDescent="0.2">
      <c r="E120" s="3"/>
    </row>
    <row r="121" spans="5:5" ht="12.75" customHeight="1" x14ac:dyDescent="0.2">
      <c r="E121" s="3"/>
    </row>
    <row r="122" spans="5:5" ht="12.75" customHeight="1" x14ac:dyDescent="0.2">
      <c r="E122" s="3"/>
    </row>
    <row r="123" spans="5:5" ht="12.75" customHeight="1" x14ac:dyDescent="0.2">
      <c r="E123" s="3"/>
    </row>
    <row r="124" spans="5:5" ht="12.75" customHeight="1" x14ac:dyDescent="0.2">
      <c r="E124" s="3"/>
    </row>
    <row r="125" spans="5:5" ht="12.75" customHeight="1" x14ac:dyDescent="0.2">
      <c r="E125" s="3"/>
    </row>
    <row r="126" spans="5:5" ht="12.75" customHeight="1" x14ac:dyDescent="0.2">
      <c r="E126" s="3"/>
    </row>
    <row r="127" spans="5:5" ht="12.75" customHeight="1" x14ac:dyDescent="0.2">
      <c r="E127" s="3"/>
    </row>
    <row r="128" spans="5:5" ht="12.75" customHeight="1" x14ac:dyDescent="0.2">
      <c r="E128" s="3"/>
    </row>
    <row r="129" spans="5:5" ht="12.75" customHeight="1" x14ac:dyDescent="0.2">
      <c r="E129" s="3"/>
    </row>
    <row r="130" spans="5:5" ht="12.75" customHeight="1" x14ac:dyDescent="0.2">
      <c r="E130" s="3"/>
    </row>
    <row r="131" spans="5:5" ht="12.75" customHeight="1" x14ac:dyDescent="0.2">
      <c r="E131" s="3"/>
    </row>
    <row r="132" spans="5:5" ht="12.75" customHeight="1" x14ac:dyDescent="0.2">
      <c r="E132" s="3"/>
    </row>
    <row r="133" spans="5:5" ht="12.75" customHeight="1" x14ac:dyDescent="0.2">
      <c r="E133" s="3"/>
    </row>
    <row r="134" spans="5:5" ht="12.75" customHeight="1" x14ac:dyDescent="0.2">
      <c r="E134" s="3"/>
    </row>
    <row r="135" spans="5:5" ht="12.75" customHeight="1" x14ac:dyDescent="0.2">
      <c r="E135" s="3"/>
    </row>
    <row r="136" spans="5:5" ht="12.75" customHeight="1" x14ac:dyDescent="0.2">
      <c r="E136" s="3"/>
    </row>
    <row r="137" spans="5:5" ht="12.75" customHeight="1" x14ac:dyDescent="0.2">
      <c r="E137" s="3"/>
    </row>
    <row r="138" spans="5:5" ht="12.75" customHeight="1" x14ac:dyDescent="0.2">
      <c r="E138" s="3"/>
    </row>
    <row r="139" spans="5:5" ht="12.75" customHeight="1" x14ac:dyDescent="0.2">
      <c r="E139" s="3"/>
    </row>
    <row r="140" spans="5:5" ht="12.75" customHeight="1" x14ac:dyDescent="0.2">
      <c r="E140" s="3"/>
    </row>
    <row r="141" spans="5:5" ht="12.75" customHeight="1" x14ac:dyDescent="0.2">
      <c r="E141" s="3"/>
    </row>
    <row r="142" spans="5:5" ht="12.75" customHeight="1" x14ac:dyDescent="0.2">
      <c r="E142" s="3"/>
    </row>
    <row r="143" spans="5:5" ht="12.75" customHeight="1" x14ac:dyDescent="0.2">
      <c r="E143" s="3"/>
    </row>
    <row r="144" spans="5:5" ht="12.75" customHeight="1" x14ac:dyDescent="0.2">
      <c r="E144" s="3"/>
    </row>
    <row r="145" spans="5:5" ht="12.75" customHeight="1" x14ac:dyDescent="0.2">
      <c r="E145" s="3"/>
    </row>
    <row r="146" spans="5:5" ht="12.75" customHeight="1" x14ac:dyDescent="0.2">
      <c r="E146" s="3"/>
    </row>
    <row r="147" spans="5:5" ht="12.75" customHeight="1" x14ac:dyDescent="0.2">
      <c r="E147" s="3"/>
    </row>
    <row r="148" spans="5:5" ht="12.75" customHeight="1" x14ac:dyDescent="0.2">
      <c r="E148" s="3"/>
    </row>
    <row r="149" spans="5:5" ht="12.75" customHeight="1" x14ac:dyDescent="0.2">
      <c r="E149" s="3"/>
    </row>
    <row r="150" spans="5:5" ht="12.75" customHeight="1" x14ac:dyDescent="0.2">
      <c r="E150" s="3"/>
    </row>
    <row r="151" spans="5:5" ht="12.75" customHeight="1" x14ac:dyDescent="0.2">
      <c r="E151" s="3"/>
    </row>
    <row r="152" spans="5:5" ht="12.75" customHeight="1" x14ac:dyDescent="0.2">
      <c r="E152" s="3"/>
    </row>
    <row r="153" spans="5:5" ht="12.75" customHeight="1" x14ac:dyDescent="0.2">
      <c r="E153" s="3"/>
    </row>
    <row r="154" spans="5:5" ht="12.75" customHeight="1" x14ac:dyDescent="0.2">
      <c r="E154" s="3"/>
    </row>
    <row r="155" spans="5:5" ht="12.75" customHeight="1" x14ac:dyDescent="0.2">
      <c r="E155" s="3"/>
    </row>
    <row r="156" spans="5:5" ht="12.75" customHeight="1" x14ac:dyDescent="0.2">
      <c r="E156" s="3"/>
    </row>
    <row r="157" spans="5:5" ht="12.75" customHeight="1" x14ac:dyDescent="0.2">
      <c r="E157" s="3"/>
    </row>
    <row r="158" spans="5:5" ht="12.75" customHeight="1" x14ac:dyDescent="0.2">
      <c r="E158" s="3"/>
    </row>
    <row r="159" spans="5:5" ht="12.75" customHeight="1" x14ac:dyDescent="0.2">
      <c r="E159" s="3"/>
    </row>
    <row r="160" spans="5:5" ht="12.75" customHeight="1" x14ac:dyDescent="0.2">
      <c r="E160" s="3"/>
    </row>
    <row r="161" spans="5:5" ht="12.75" customHeight="1" x14ac:dyDescent="0.2">
      <c r="E161" s="3"/>
    </row>
    <row r="162" spans="5:5" ht="12.75" customHeight="1" x14ac:dyDescent="0.2">
      <c r="E162" s="3"/>
    </row>
    <row r="163" spans="5:5" ht="12.75" customHeight="1" x14ac:dyDescent="0.2">
      <c r="E163" s="3"/>
    </row>
    <row r="164" spans="5:5" ht="12.75" customHeight="1" x14ac:dyDescent="0.2">
      <c r="E164" s="3"/>
    </row>
    <row r="165" spans="5:5" ht="12.75" customHeight="1" x14ac:dyDescent="0.2">
      <c r="E165" s="3"/>
    </row>
    <row r="166" spans="5:5" ht="12.75" customHeight="1" x14ac:dyDescent="0.2">
      <c r="E166" s="3"/>
    </row>
    <row r="167" spans="5:5" ht="12.75" customHeight="1" x14ac:dyDescent="0.2">
      <c r="E167" s="3"/>
    </row>
    <row r="168" spans="5:5" ht="12.75" customHeight="1" x14ac:dyDescent="0.2">
      <c r="E168" s="3"/>
    </row>
    <row r="169" spans="5:5" ht="12.75" customHeight="1" x14ac:dyDescent="0.2">
      <c r="E169" s="3"/>
    </row>
    <row r="170" spans="5:5" ht="12.75" customHeight="1" x14ac:dyDescent="0.2">
      <c r="E170" s="3"/>
    </row>
    <row r="171" spans="5:5" ht="12.75" customHeight="1" x14ac:dyDescent="0.2">
      <c r="E171" s="3"/>
    </row>
    <row r="172" spans="5:5" ht="12.75" customHeight="1" x14ac:dyDescent="0.2">
      <c r="E172" s="3"/>
    </row>
    <row r="173" spans="5:5" ht="12.75" customHeight="1" x14ac:dyDescent="0.2">
      <c r="E173" s="3"/>
    </row>
    <row r="174" spans="5:5" ht="12.75" customHeight="1" x14ac:dyDescent="0.2">
      <c r="E174" s="3"/>
    </row>
    <row r="175" spans="5:5" ht="12.75" customHeight="1" x14ac:dyDescent="0.2">
      <c r="E175" s="3"/>
    </row>
    <row r="176" spans="5:5" ht="12.75" customHeight="1" x14ac:dyDescent="0.2">
      <c r="E176" s="3"/>
    </row>
    <row r="177" spans="5:5" ht="12.75" customHeight="1" x14ac:dyDescent="0.2">
      <c r="E177" s="3"/>
    </row>
    <row r="178" spans="5:5" ht="12.75" customHeight="1" x14ac:dyDescent="0.2">
      <c r="E178" s="3"/>
    </row>
    <row r="179" spans="5:5" ht="12.75" customHeight="1" x14ac:dyDescent="0.2">
      <c r="E179" s="3"/>
    </row>
    <row r="180" spans="5:5" ht="12.75" customHeight="1" x14ac:dyDescent="0.2">
      <c r="E180" s="3"/>
    </row>
    <row r="181" spans="5:5" ht="12.75" customHeight="1" x14ac:dyDescent="0.2">
      <c r="E181" s="3"/>
    </row>
    <row r="182" spans="5:5" ht="12.75" customHeight="1" x14ac:dyDescent="0.2">
      <c r="E182" s="3"/>
    </row>
    <row r="183" spans="5:5" ht="12.75" customHeight="1" x14ac:dyDescent="0.2">
      <c r="E183" s="3"/>
    </row>
    <row r="184" spans="5:5" ht="12.75" customHeight="1" x14ac:dyDescent="0.2">
      <c r="E184" s="3"/>
    </row>
    <row r="185" spans="5:5" ht="12.75" customHeight="1" x14ac:dyDescent="0.2">
      <c r="E185" s="3"/>
    </row>
    <row r="186" spans="5:5" ht="12.75" customHeight="1" x14ac:dyDescent="0.2">
      <c r="E186" s="3"/>
    </row>
    <row r="187" spans="5:5" ht="12.75" customHeight="1" x14ac:dyDescent="0.2">
      <c r="E187" s="3"/>
    </row>
    <row r="188" spans="5:5" ht="12.75" customHeight="1" x14ac:dyDescent="0.2">
      <c r="E188" s="3"/>
    </row>
    <row r="189" spans="5:5" ht="12.75" customHeight="1" x14ac:dyDescent="0.2">
      <c r="E189" s="3"/>
    </row>
    <row r="190" spans="5:5" ht="12.75" customHeight="1" x14ac:dyDescent="0.2">
      <c r="E190" s="3"/>
    </row>
    <row r="191" spans="5:5" ht="12.75" customHeight="1" x14ac:dyDescent="0.2">
      <c r="E191" s="3"/>
    </row>
    <row r="192" spans="5:5" ht="12.75" customHeight="1" x14ac:dyDescent="0.2">
      <c r="E192" s="3"/>
    </row>
    <row r="193" spans="5:5" ht="12.75" customHeight="1" x14ac:dyDescent="0.2">
      <c r="E193" s="3"/>
    </row>
    <row r="194" spans="5:5" ht="12.75" customHeight="1" x14ac:dyDescent="0.2">
      <c r="E194" s="3"/>
    </row>
    <row r="195" spans="5:5" ht="12.75" customHeight="1" x14ac:dyDescent="0.2">
      <c r="E195" s="3"/>
    </row>
    <row r="196" spans="5:5" ht="12.75" customHeight="1" x14ac:dyDescent="0.2">
      <c r="E196" s="3"/>
    </row>
    <row r="197" spans="5:5" ht="12.75" customHeight="1" x14ac:dyDescent="0.2">
      <c r="E197" s="3"/>
    </row>
    <row r="198" spans="5:5" ht="12.75" customHeight="1" x14ac:dyDescent="0.2">
      <c r="E198" s="3"/>
    </row>
    <row r="199" spans="5:5" ht="12.75" customHeight="1" x14ac:dyDescent="0.2">
      <c r="E199" s="3"/>
    </row>
    <row r="200" spans="5:5" ht="12.75" customHeight="1" x14ac:dyDescent="0.2">
      <c r="E200" s="3"/>
    </row>
    <row r="201" spans="5:5" ht="12.75" customHeight="1" x14ac:dyDescent="0.2">
      <c r="E201" s="3"/>
    </row>
    <row r="202" spans="5:5" ht="12.75" customHeight="1" x14ac:dyDescent="0.2">
      <c r="E202" s="3"/>
    </row>
    <row r="203" spans="5:5" ht="12.75" customHeight="1" x14ac:dyDescent="0.2">
      <c r="E203" s="3"/>
    </row>
    <row r="204" spans="5:5" ht="12.75" customHeight="1" x14ac:dyDescent="0.2">
      <c r="E204" s="3"/>
    </row>
    <row r="205" spans="5:5" ht="12.75" customHeight="1" x14ac:dyDescent="0.2">
      <c r="E205" s="3"/>
    </row>
    <row r="206" spans="5:5" ht="12.75" customHeight="1" x14ac:dyDescent="0.2">
      <c r="E206" s="3"/>
    </row>
    <row r="207" spans="5:5" ht="12.75" customHeight="1" x14ac:dyDescent="0.2">
      <c r="E207" s="3"/>
    </row>
    <row r="208" spans="5:5" ht="12.75" customHeight="1" x14ac:dyDescent="0.2">
      <c r="E208" s="3"/>
    </row>
    <row r="209" spans="5:5" ht="12.75" customHeight="1" x14ac:dyDescent="0.2">
      <c r="E209" s="3"/>
    </row>
    <row r="210" spans="5:5" ht="12.75" customHeight="1" x14ac:dyDescent="0.2">
      <c r="E210" s="3"/>
    </row>
    <row r="211" spans="5:5" ht="12.75" customHeight="1" x14ac:dyDescent="0.2">
      <c r="E211" s="3"/>
    </row>
    <row r="212" spans="5:5" ht="12.75" customHeight="1" x14ac:dyDescent="0.2">
      <c r="E212" s="3"/>
    </row>
    <row r="213" spans="5:5" ht="12.75" customHeight="1" x14ac:dyDescent="0.2">
      <c r="E213" s="3"/>
    </row>
    <row r="214" spans="5:5" ht="12.75" customHeight="1" x14ac:dyDescent="0.2">
      <c r="E214" s="3"/>
    </row>
    <row r="215" spans="5:5" ht="12.75" customHeight="1" x14ac:dyDescent="0.2">
      <c r="E215" s="3"/>
    </row>
    <row r="216" spans="5:5" ht="12.75" customHeight="1" x14ac:dyDescent="0.2">
      <c r="E216" s="3"/>
    </row>
    <row r="217" spans="5:5" ht="12.75" customHeight="1" x14ac:dyDescent="0.2">
      <c r="E217" s="3"/>
    </row>
    <row r="218" spans="5:5" ht="12.75" customHeight="1" x14ac:dyDescent="0.2">
      <c r="E218" s="3"/>
    </row>
    <row r="219" spans="5:5" ht="12.75" customHeight="1" x14ac:dyDescent="0.2">
      <c r="E219" s="3"/>
    </row>
    <row r="220" spans="5:5" ht="12.75" customHeight="1" x14ac:dyDescent="0.2">
      <c r="E220" s="3"/>
    </row>
    <row r="221" spans="5:5" ht="12.75" customHeight="1" x14ac:dyDescent="0.2">
      <c r="E221" s="3"/>
    </row>
    <row r="222" spans="5:5" ht="12.75" customHeight="1" x14ac:dyDescent="0.2">
      <c r="E222" s="3"/>
    </row>
    <row r="223" spans="5:5" ht="12.75" customHeight="1" x14ac:dyDescent="0.2">
      <c r="E223" s="3"/>
    </row>
    <row r="224" spans="5:5" ht="12.75" customHeight="1" x14ac:dyDescent="0.2">
      <c r="E224" s="3"/>
    </row>
    <row r="225" spans="5:5" ht="12.75" customHeight="1" x14ac:dyDescent="0.2">
      <c r="E225" s="3"/>
    </row>
    <row r="226" spans="5:5" ht="12.75" customHeight="1" x14ac:dyDescent="0.2">
      <c r="E226" s="3"/>
    </row>
    <row r="227" spans="5:5" ht="12.75" customHeight="1" x14ac:dyDescent="0.2">
      <c r="E227" s="3"/>
    </row>
    <row r="228" spans="5:5" ht="12.75" customHeight="1" x14ac:dyDescent="0.2">
      <c r="E228" s="3"/>
    </row>
    <row r="229" spans="5:5" ht="12.75" customHeight="1" x14ac:dyDescent="0.2">
      <c r="E229" s="3"/>
    </row>
    <row r="230" spans="5:5" ht="12.75" customHeight="1" x14ac:dyDescent="0.2">
      <c r="E230" s="3"/>
    </row>
    <row r="231" spans="5:5" ht="12.75" customHeight="1" x14ac:dyDescent="0.2">
      <c r="E231" s="3"/>
    </row>
    <row r="232" spans="5:5" ht="12.75" customHeight="1" x14ac:dyDescent="0.2">
      <c r="E232" s="3"/>
    </row>
    <row r="233" spans="5:5" ht="12.75" customHeight="1" x14ac:dyDescent="0.2">
      <c r="E233" s="3"/>
    </row>
    <row r="234" spans="5:5" ht="12.75" customHeight="1" x14ac:dyDescent="0.2">
      <c r="E234" s="3"/>
    </row>
    <row r="235" spans="5:5" ht="12.75" customHeight="1" x14ac:dyDescent="0.2">
      <c r="E235" s="3"/>
    </row>
    <row r="236" spans="5:5" ht="12.75" customHeight="1" x14ac:dyDescent="0.2">
      <c r="E236" s="3"/>
    </row>
    <row r="237" spans="5:5" ht="12.75" customHeight="1" x14ac:dyDescent="0.2">
      <c r="E237" s="3"/>
    </row>
    <row r="238" spans="5:5" ht="12.75" customHeight="1" x14ac:dyDescent="0.2">
      <c r="E238" s="3"/>
    </row>
    <row r="239" spans="5:5" ht="12.75" customHeight="1" x14ac:dyDescent="0.2">
      <c r="E239" s="3"/>
    </row>
    <row r="240" spans="5:5" ht="12.75" customHeight="1" x14ac:dyDescent="0.2">
      <c r="E240" s="3"/>
    </row>
    <row r="241" spans="5:5" ht="12.75" customHeight="1" x14ac:dyDescent="0.2">
      <c r="E241" s="3"/>
    </row>
    <row r="242" spans="5:5" ht="12.75" customHeight="1" x14ac:dyDescent="0.2">
      <c r="E242" s="3"/>
    </row>
    <row r="243" spans="5:5" ht="12.75" customHeight="1" x14ac:dyDescent="0.2">
      <c r="E243" s="3"/>
    </row>
    <row r="244" spans="5:5" ht="12.75" customHeight="1" x14ac:dyDescent="0.2">
      <c r="E244" s="3"/>
    </row>
    <row r="245" spans="5:5" ht="12.75" customHeight="1" x14ac:dyDescent="0.2">
      <c r="E245" s="3"/>
    </row>
    <row r="246" spans="5:5" ht="12.75" customHeight="1" x14ac:dyDescent="0.2">
      <c r="E246" s="3"/>
    </row>
    <row r="247" spans="5:5" ht="12.75" customHeight="1" x14ac:dyDescent="0.2">
      <c r="E247" s="3"/>
    </row>
    <row r="248" spans="5:5" ht="12.75" customHeight="1" x14ac:dyDescent="0.2">
      <c r="E248" s="3"/>
    </row>
    <row r="249" spans="5:5" ht="12.75" customHeight="1" x14ac:dyDescent="0.2">
      <c r="E249" s="3"/>
    </row>
    <row r="250" spans="5:5" ht="12.75" customHeight="1" x14ac:dyDescent="0.2">
      <c r="E250" s="3"/>
    </row>
    <row r="251" spans="5:5" ht="12.75" customHeight="1" x14ac:dyDescent="0.2">
      <c r="E251" s="3"/>
    </row>
    <row r="252" spans="5:5" ht="12.75" customHeight="1" x14ac:dyDescent="0.2">
      <c r="E252" s="3"/>
    </row>
    <row r="253" spans="5:5" ht="12.75" customHeight="1" x14ac:dyDescent="0.2">
      <c r="E253" s="3"/>
    </row>
    <row r="254" spans="5:5" ht="12.75" customHeight="1" x14ac:dyDescent="0.2">
      <c r="E254" s="3"/>
    </row>
    <row r="255" spans="5:5" ht="12.75" customHeight="1" x14ac:dyDescent="0.2">
      <c r="E255" s="3"/>
    </row>
    <row r="256" spans="5:5" ht="12.75" customHeight="1" x14ac:dyDescent="0.2">
      <c r="E256" s="3"/>
    </row>
    <row r="257" spans="5:5" ht="12.75" customHeight="1" x14ac:dyDescent="0.2">
      <c r="E257" s="3"/>
    </row>
    <row r="258" spans="5:5" ht="12.75" customHeight="1" x14ac:dyDescent="0.2">
      <c r="E258" s="3"/>
    </row>
    <row r="259" spans="5:5" ht="12.75" customHeight="1" x14ac:dyDescent="0.2">
      <c r="E259" s="3"/>
    </row>
    <row r="260" spans="5:5" ht="12.75" customHeight="1" x14ac:dyDescent="0.2">
      <c r="E260" s="3"/>
    </row>
    <row r="261" spans="5:5" ht="12.75" customHeight="1" x14ac:dyDescent="0.2">
      <c r="E261" s="3"/>
    </row>
    <row r="262" spans="5:5" ht="12.75" customHeight="1" x14ac:dyDescent="0.2">
      <c r="E262" s="3"/>
    </row>
    <row r="263" spans="5:5" ht="12.75" customHeight="1" x14ac:dyDescent="0.2">
      <c r="E263" s="3"/>
    </row>
    <row r="264" spans="5:5" ht="12.75" customHeight="1" x14ac:dyDescent="0.2">
      <c r="E264" s="3"/>
    </row>
    <row r="265" spans="5:5" ht="12.75" customHeight="1" x14ac:dyDescent="0.2">
      <c r="E265" s="3"/>
    </row>
    <row r="266" spans="5:5" ht="12.75" customHeight="1" x14ac:dyDescent="0.2">
      <c r="E266" s="3"/>
    </row>
    <row r="267" spans="5:5" ht="12.75" customHeight="1" x14ac:dyDescent="0.2">
      <c r="E267" s="3"/>
    </row>
    <row r="268" spans="5:5" ht="12.75" customHeight="1" x14ac:dyDescent="0.2">
      <c r="E268" s="3"/>
    </row>
    <row r="269" spans="5:5" ht="12.75" customHeight="1" x14ac:dyDescent="0.2">
      <c r="E269" s="3"/>
    </row>
    <row r="270" spans="5:5" ht="12.75" customHeight="1" x14ac:dyDescent="0.2">
      <c r="E270" s="3"/>
    </row>
    <row r="271" spans="5:5" ht="12.75" customHeight="1" x14ac:dyDescent="0.2">
      <c r="E271" s="3"/>
    </row>
    <row r="272" spans="5:5" ht="12.75" customHeight="1" x14ac:dyDescent="0.2">
      <c r="E272" s="3"/>
    </row>
    <row r="273" spans="5:5" ht="12.75" customHeight="1" x14ac:dyDescent="0.2">
      <c r="E273" s="3"/>
    </row>
    <row r="274" spans="5:5" ht="12.75" customHeight="1" x14ac:dyDescent="0.2">
      <c r="E274" s="3"/>
    </row>
    <row r="275" spans="5:5" ht="12.75" customHeight="1" x14ac:dyDescent="0.2">
      <c r="E275" s="3"/>
    </row>
    <row r="276" spans="5:5" ht="12.75" customHeight="1" x14ac:dyDescent="0.2">
      <c r="E276" s="3"/>
    </row>
    <row r="277" spans="5:5" ht="12.75" customHeight="1" x14ac:dyDescent="0.2">
      <c r="E277" s="3"/>
    </row>
    <row r="278" spans="5:5" ht="12.75" customHeight="1" x14ac:dyDescent="0.2">
      <c r="E278" s="3"/>
    </row>
    <row r="279" spans="5:5" ht="12.75" customHeight="1" x14ac:dyDescent="0.2">
      <c r="E279" s="3"/>
    </row>
    <row r="280" spans="5:5" ht="12.75" customHeight="1" x14ac:dyDescent="0.2">
      <c r="E280" s="3"/>
    </row>
    <row r="281" spans="5:5" ht="12.75" customHeight="1" x14ac:dyDescent="0.2">
      <c r="E281" s="3"/>
    </row>
    <row r="282" spans="5:5" ht="12.75" customHeight="1" x14ac:dyDescent="0.2">
      <c r="E282" s="3"/>
    </row>
    <row r="283" spans="5:5" ht="12.75" customHeight="1" x14ac:dyDescent="0.2">
      <c r="E283" s="3"/>
    </row>
    <row r="284" spans="5:5" ht="12.75" customHeight="1" x14ac:dyDescent="0.2">
      <c r="E284" s="3"/>
    </row>
    <row r="285" spans="5:5" ht="12.75" customHeight="1" x14ac:dyDescent="0.2">
      <c r="E285" s="3"/>
    </row>
    <row r="286" spans="5:5" ht="12.75" customHeight="1" x14ac:dyDescent="0.2">
      <c r="E286" s="3"/>
    </row>
    <row r="287" spans="5:5" ht="12.75" customHeight="1" x14ac:dyDescent="0.2">
      <c r="E287" s="3"/>
    </row>
    <row r="288" spans="5:5" ht="12.75" customHeight="1" x14ac:dyDescent="0.2">
      <c r="E288" s="3"/>
    </row>
    <row r="289" spans="5:5" ht="12.75" customHeight="1" x14ac:dyDescent="0.2">
      <c r="E289" s="3"/>
    </row>
    <row r="290" spans="5:5" ht="12.75" customHeight="1" x14ac:dyDescent="0.2">
      <c r="E290" s="3"/>
    </row>
    <row r="291" spans="5:5" ht="12.75" customHeight="1" x14ac:dyDescent="0.2">
      <c r="E291" s="3"/>
    </row>
    <row r="292" spans="5:5" ht="12.75" customHeight="1" x14ac:dyDescent="0.2">
      <c r="E292" s="3"/>
    </row>
    <row r="293" spans="5:5" ht="12.75" customHeight="1" x14ac:dyDescent="0.2">
      <c r="E293" s="3"/>
    </row>
    <row r="294" spans="5:5" ht="12.75" customHeight="1" x14ac:dyDescent="0.2">
      <c r="E294" s="3"/>
    </row>
    <row r="295" spans="5:5" ht="12.75" customHeight="1" x14ac:dyDescent="0.2">
      <c r="E295" s="3"/>
    </row>
    <row r="296" spans="5:5" ht="12.75" customHeight="1" x14ac:dyDescent="0.2">
      <c r="E296" s="3"/>
    </row>
    <row r="297" spans="5:5" ht="12.75" customHeight="1" x14ac:dyDescent="0.2">
      <c r="E297" s="3"/>
    </row>
    <row r="298" spans="5:5" ht="12.75" customHeight="1" x14ac:dyDescent="0.2">
      <c r="E298" s="3"/>
    </row>
    <row r="299" spans="5:5" ht="12.75" customHeight="1" x14ac:dyDescent="0.2">
      <c r="E299" s="3"/>
    </row>
    <row r="300" spans="5:5" ht="12.75" customHeight="1" x14ac:dyDescent="0.2">
      <c r="E300" s="3"/>
    </row>
    <row r="301" spans="5:5" ht="12.75" customHeight="1" x14ac:dyDescent="0.2">
      <c r="E301" s="3"/>
    </row>
    <row r="302" spans="5:5" ht="12.75" customHeight="1" x14ac:dyDescent="0.2">
      <c r="E302" s="3"/>
    </row>
    <row r="303" spans="5:5" ht="12.75" customHeight="1" x14ac:dyDescent="0.2">
      <c r="E303" s="3"/>
    </row>
    <row r="304" spans="5:5" ht="12.75" customHeight="1" x14ac:dyDescent="0.2">
      <c r="E304" s="3"/>
    </row>
    <row r="305" spans="5:5" ht="12.75" customHeight="1" x14ac:dyDescent="0.2">
      <c r="E305" s="3"/>
    </row>
    <row r="306" spans="5:5" ht="12.75" customHeight="1" x14ac:dyDescent="0.2">
      <c r="E306" s="3"/>
    </row>
    <row r="307" spans="5:5" ht="12.75" customHeight="1" x14ac:dyDescent="0.2">
      <c r="E307" s="3"/>
    </row>
    <row r="308" spans="5:5" ht="12.75" customHeight="1" x14ac:dyDescent="0.2">
      <c r="E308" s="3"/>
    </row>
    <row r="309" spans="5:5" ht="12.75" customHeight="1" x14ac:dyDescent="0.2">
      <c r="E309" s="3"/>
    </row>
    <row r="310" spans="5:5" ht="12.75" customHeight="1" x14ac:dyDescent="0.2">
      <c r="E310" s="3"/>
    </row>
    <row r="311" spans="5:5" ht="12.75" customHeight="1" x14ac:dyDescent="0.2">
      <c r="E311" s="3"/>
    </row>
    <row r="312" spans="5:5" ht="12.75" customHeight="1" x14ac:dyDescent="0.2">
      <c r="E312" s="3"/>
    </row>
    <row r="313" spans="5:5" ht="12.75" customHeight="1" x14ac:dyDescent="0.2">
      <c r="E313" s="3"/>
    </row>
    <row r="314" spans="5:5" ht="12.75" customHeight="1" x14ac:dyDescent="0.2">
      <c r="E314" s="3"/>
    </row>
    <row r="315" spans="5:5" ht="12.75" customHeight="1" x14ac:dyDescent="0.2">
      <c r="E315" s="3"/>
    </row>
    <row r="316" spans="5:5" ht="12.75" customHeight="1" x14ac:dyDescent="0.2">
      <c r="E316" s="3"/>
    </row>
    <row r="317" spans="5:5" ht="12.75" customHeight="1" x14ac:dyDescent="0.2">
      <c r="E317" s="3"/>
    </row>
    <row r="318" spans="5:5" ht="12.75" customHeight="1" x14ac:dyDescent="0.2">
      <c r="E318" s="3"/>
    </row>
    <row r="319" spans="5:5" ht="12.75" customHeight="1" x14ac:dyDescent="0.2">
      <c r="E319" s="3"/>
    </row>
    <row r="320" spans="5:5" ht="12.75" customHeight="1" x14ac:dyDescent="0.2">
      <c r="E320" s="3"/>
    </row>
    <row r="321" spans="5:5" ht="12.75" customHeight="1" x14ac:dyDescent="0.2">
      <c r="E321" s="3"/>
    </row>
    <row r="322" spans="5:5" ht="12.75" customHeight="1" x14ac:dyDescent="0.2">
      <c r="E322" s="3"/>
    </row>
    <row r="323" spans="5:5" ht="12.75" customHeight="1" x14ac:dyDescent="0.2">
      <c r="E323" s="3"/>
    </row>
    <row r="324" spans="5:5" ht="12.75" customHeight="1" x14ac:dyDescent="0.2">
      <c r="E324" s="3"/>
    </row>
    <row r="325" spans="5:5" ht="12.75" customHeight="1" x14ac:dyDescent="0.2">
      <c r="E325" s="3"/>
    </row>
    <row r="326" spans="5:5" ht="12.75" customHeight="1" x14ac:dyDescent="0.2">
      <c r="E326" s="3"/>
    </row>
    <row r="327" spans="5:5" ht="12.75" customHeight="1" x14ac:dyDescent="0.2">
      <c r="E327" s="3"/>
    </row>
    <row r="328" spans="5:5" ht="12.75" customHeight="1" x14ac:dyDescent="0.2">
      <c r="E328" s="3"/>
    </row>
    <row r="329" spans="5:5" ht="12.75" customHeight="1" x14ac:dyDescent="0.2">
      <c r="E329" s="3"/>
    </row>
    <row r="330" spans="5:5" ht="12.75" customHeight="1" x14ac:dyDescent="0.2">
      <c r="E330" s="3"/>
    </row>
    <row r="331" spans="5:5" ht="12.75" customHeight="1" x14ac:dyDescent="0.2">
      <c r="E331" s="3"/>
    </row>
    <row r="332" spans="5:5" ht="12.75" customHeight="1" x14ac:dyDescent="0.2">
      <c r="E332" s="3"/>
    </row>
    <row r="333" spans="5:5" ht="12.75" customHeight="1" x14ac:dyDescent="0.2">
      <c r="E333" s="3"/>
    </row>
    <row r="334" spans="5:5" ht="12.75" customHeight="1" x14ac:dyDescent="0.2">
      <c r="E334" s="3"/>
    </row>
    <row r="335" spans="5:5" ht="12.75" customHeight="1" x14ac:dyDescent="0.2">
      <c r="E335" s="3"/>
    </row>
    <row r="336" spans="5:5" ht="12.75" customHeight="1" x14ac:dyDescent="0.2">
      <c r="E336" s="3"/>
    </row>
    <row r="337" spans="5:5" ht="12.75" customHeight="1" x14ac:dyDescent="0.2">
      <c r="E337" s="3"/>
    </row>
    <row r="338" spans="5:5" ht="12.75" customHeight="1" x14ac:dyDescent="0.2">
      <c r="E338" s="3"/>
    </row>
    <row r="339" spans="5:5" ht="12.75" customHeight="1" x14ac:dyDescent="0.2">
      <c r="E339" s="3"/>
    </row>
    <row r="340" spans="5:5" ht="12.75" customHeight="1" x14ac:dyDescent="0.2">
      <c r="E340" s="3"/>
    </row>
    <row r="341" spans="5:5" ht="12.75" customHeight="1" x14ac:dyDescent="0.2">
      <c r="E341" s="3"/>
    </row>
    <row r="342" spans="5:5" ht="12.75" customHeight="1" x14ac:dyDescent="0.2">
      <c r="E342" s="3"/>
    </row>
    <row r="343" spans="5:5" ht="12.75" customHeight="1" x14ac:dyDescent="0.2">
      <c r="E343" s="3"/>
    </row>
    <row r="344" spans="5:5" ht="12.75" customHeight="1" x14ac:dyDescent="0.2">
      <c r="E344" s="3"/>
    </row>
    <row r="345" spans="5:5" ht="12.75" customHeight="1" x14ac:dyDescent="0.2">
      <c r="E345" s="3"/>
    </row>
    <row r="346" spans="5:5" ht="12.75" customHeight="1" x14ac:dyDescent="0.2">
      <c r="E346" s="3"/>
    </row>
    <row r="347" spans="5:5" ht="12.75" customHeight="1" x14ac:dyDescent="0.2">
      <c r="E347" s="3"/>
    </row>
    <row r="348" spans="5:5" ht="12.75" customHeight="1" x14ac:dyDescent="0.2">
      <c r="E348" s="3"/>
    </row>
    <row r="349" spans="5:5" ht="12.75" customHeight="1" x14ac:dyDescent="0.2">
      <c r="E349" s="3"/>
    </row>
    <row r="350" spans="5:5" ht="12.75" customHeight="1" x14ac:dyDescent="0.2">
      <c r="E350" s="3"/>
    </row>
    <row r="351" spans="5:5" ht="12.75" customHeight="1" x14ac:dyDescent="0.2">
      <c r="E351" s="3"/>
    </row>
    <row r="352" spans="5:5" ht="12.75" customHeight="1" x14ac:dyDescent="0.2">
      <c r="E352" s="3"/>
    </row>
    <row r="353" spans="5:5" ht="12.75" customHeight="1" x14ac:dyDescent="0.2">
      <c r="E353" s="3"/>
    </row>
    <row r="354" spans="5:5" ht="12.75" customHeight="1" x14ac:dyDescent="0.2">
      <c r="E354" s="3"/>
    </row>
    <row r="355" spans="5:5" ht="12.75" customHeight="1" x14ac:dyDescent="0.2">
      <c r="E355" s="3"/>
    </row>
    <row r="356" spans="5:5" ht="12.75" customHeight="1" x14ac:dyDescent="0.2">
      <c r="E356" s="3"/>
    </row>
    <row r="357" spans="5:5" ht="12.75" customHeight="1" x14ac:dyDescent="0.2">
      <c r="E357" s="3"/>
    </row>
    <row r="358" spans="5:5" ht="12.75" customHeight="1" x14ac:dyDescent="0.2">
      <c r="E358" s="3"/>
    </row>
    <row r="359" spans="5:5" ht="12.75" customHeight="1" x14ac:dyDescent="0.2">
      <c r="E359" s="3"/>
    </row>
    <row r="360" spans="5:5" ht="12.75" customHeight="1" x14ac:dyDescent="0.2">
      <c r="E360" s="3"/>
    </row>
    <row r="361" spans="5:5" ht="12.75" customHeight="1" x14ac:dyDescent="0.2">
      <c r="E361" s="3"/>
    </row>
    <row r="362" spans="5:5" ht="12.75" customHeight="1" x14ac:dyDescent="0.2">
      <c r="E362" s="3"/>
    </row>
    <row r="363" spans="5:5" ht="12.75" customHeight="1" x14ac:dyDescent="0.2">
      <c r="E363" s="3"/>
    </row>
    <row r="364" spans="5:5" ht="12.75" customHeight="1" x14ac:dyDescent="0.2">
      <c r="E364" s="3"/>
    </row>
    <row r="365" spans="5:5" ht="12.75" customHeight="1" x14ac:dyDescent="0.2">
      <c r="E365" s="3"/>
    </row>
    <row r="366" spans="5:5" ht="12.75" customHeight="1" x14ac:dyDescent="0.2">
      <c r="E366" s="3"/>
    </row>
    <row r="367" spans="5:5" ht="12.75" customHeight="1" x14ac:dyDescent="0.2">
      <c r="E367" s="3"/>
    </row>
    <row r="368" spans="5:5" ht="12.75" customHeight="1" x14ac:dyDescent="0.2">
      <c r="E368" s="3"/>
    </row>
    <row r="369" spans="5:5" ht="12.75" customHeight="1" x14ac:dyDescent="0.2">
      <c r="E369" s="3"/>
    </row>
    <row r="370" spans="5:5" ht="12.75" customHeight="1" x14ac:dyDescent="0.2">
      <c r="E370" s="3"/>
    </row>
    <row r="371" spans="5:5" ht="12.75" customHeight="1" x14ac:dyDescent="0.2">
      <c r="E371" s="3"/>
    </row>
    <row r="372" spans="5:5" ht="12.75" customHeight="1" x14ac:dyDescent="0.2">
      <c r="E372" s="3"/>
    </row>
    <row r="373" spans="5:5" ht="12.75" customHeight="1" x14ac:dyDescent="0.2">
      <c r="E373" s="3"/>
    </row>
    <row r="374" spans="5:5" ht="12.75" customHeight="1" x14ac:dyDescent="0.2">
      <c r="E374" s="3"/>
    </row>
    <row r="375" spans="5:5" ht="12.75" customHeight="1" x14ac:dyDescent="0.2">
      <c r="E375" s="3"/>
    </row>
    <row r="376" spans="5:5" ht="12.75" customHeight="1" x14ac:dyDescent="0.2">
      <c r="E376" s="3"/>
    </row>
    <row r="377" spans="5:5" ht="12.75" customHeight="1" x14ac:dyDescent="0.2">
      <c r="E377" s="3"/>
    </row>
    <row r="378" spans="5:5" ht="12.75" customHeight="1" x14ac:dyDescent="0.2">
      <c r="E378" s="3"/>
    </row>
    <row r="379" spans="5:5" ht="12.75" customHeight="1" x14ac:dyDescent="0.2">
      <c r="E379" s="3"/>
    </row>
    <row r="380" spans="5:5" ht="12.75" customHeight="1" x14ac:dyDescent="0.2">
      <c r="E380" s="3"/>
    </row>
    <row r="381" spans="5:5" ht="12.75" customHeight="1" x14ac:dyDescent="0.2">
      <c r="E381" s="3"/>
    </row>
    <row r="382" spans="5:5" ht="12.75" customHeight="1" x14ac:dyDescent="0.2">
      <c r="E382" s="3"/>
    </row>
    <row r="383" spans="5:5" ht="12.75" customHeight="1" x14ac:dyDescent="0.2">
      <c r="E383" s="3"/>
    </row>
    <row r="384" spans="5:5" ht="12.75" customHeight="1" x14ac:dyDescent="0.2">
      <c r="E384" s="3"/>
    </row>
    <row r="385" spans="5:5" ht="12.75" customHeight="1" x14ac:dyDescent="0.2">
      <c r="E385" s="3"/>
    </row>
    <row r="386" spans="5:5" ht="12.75" customHeight="1" x14ac:dyDescent="0.2">
      <c r="E386" s="3"/>
    </row>
    <row r="387" spans="5:5" ht="12.75" customHeight="1" x14ac:dyDescent="0.2">
      <c r="E387" s="3"/>
    </row>
    <row r="388" spans="5:5" ht="12.75" customHeight="1" x14ac:dyDescent="0.2">
      <c r="E388" s="3"/>
    </row>
    <row r="389" spans="5:5" ht="12.75" customHeight="1" x14ac:dyDescent="0.2">
      <c r="E389" s="3"/>
    </row>
    <row r="390" spans="5:5" ht="12.75" customHeight="1" x14ac:dyDescent="0.2">
      <c r="E390" s="3"/>
    </row>
    <row r="391" spans="5:5" ht="12.75" customHeight="1" x14ac:dyDescent="0.2">
      <c r="E391" s="3"/>
    </row>
    <row r="392" spans="5:5" ht="12.75" customHeight="1" x14ac:dyDescent="0.2">
      <c r="E392" s="3"/>
    </row>
    <row r="393" spans="5:5" ht="12.75" customHeight="1" x14ac:dyDescent="0.2">
      <c r="E393" s="3"/>
    </row>
    <row r="394" spans="5:5" ht="12.75" customHeight="1" x14ac:dyDescent="0.2">
      <c r="E394" s="3"/>
    </row>
    <row r="395" spans="5:5" ht="12.75" customHeight="1" x14ac:dyDescent="0.2">
      <c r="E395" s="3"/>
    </row>
    <row r="396" spans="5:5" ht="12.75" customHeight="1" x14ac:dyDescent="0.2">
      <c r="E396" s="3"/>
    </row>
    <row r="397" spans="5:5" ht="12.75" customHeight="1" x14ac:dyDescent="0.2">
      <c r="E397" s="3"/>
    </row>
    <row r="398" spans="5:5" ht="12.75" customHeight="1" x14ac:dyDescent="0.2">
      <c r="E398" s="3"/>
    </row>
    <row r="399" spans="5:5" ht="12.75" customHeight="1" x14ac:dyDescent="0.2">
      <c r="E399" s="3"/>
    </row>
    <row r="400" spans="5:5" ht="12.75" customHeight="1" x14ac:dyDescent="0.2">
      <c r="E400" s="3"/>
    </row>
    <row r="401" spans="5:5" ht="12.75" customHeight="1" x14ac:dyDescent="0.2">
      <c r="E401" s="3"/>
    </row>
    <row r="402" spans="5:5" ht="12.75" customHeight="1" x14ac:dyDescent="0.2">
      <c r="E402" s="3"/>
    </row>
    <row r="403" spans="5:5" ht="12.75" customHeight="1" x14ac:dyDescent="0.2">
      <c r="E403" s="3"/>
    </row>
    <row r="404" spans="5:5" ht="12.75" customHeight="1" x14ac:dyDescent="0.2">
      <c r="E404" s="3"/>
    </row>
    <row r="405" spans="5:5" ht="12.75" customHeight="1" x14ac:dyDescent="0.2">
      <c r="E405" s="3"/>
    </row>
    <row r="406" spans="5:5" ht="12.75" customHeight="1" x14ac:dyDescent="0.2">
      <c r="E406" s="3"/>
    </row>
    <row r="407" spans="5:5" ht="12.75" customHeight="1" x14ac:dyDescent="0.2">
      <c r="E407" s="3"/>
    </row>
    <row r="408" spans="5:5" ht="12.75" customHeight="1" x14ac:dyDescent="0.2">
      <c r="E408" s="3"/>
    </row>
    <row r="409" spans="5:5" ht="12.75" customHeight="1" x14ac:dyDescent="0.2">
      <c r="E409" s="3"/>
    </row>
    <row r="410" spans="5:5" ht="12.75" customHeight="1" x14ac:dyDescent="0.2">
      <c r="E410" s="3"/>
    </row>
    <row r="411" spans="5:5" ht="12.75" customHeight="1" x14ac:dyDescent="0.2">
      <c r="E411" s="3"/>
    </row>
    <row r="412" spans="5:5" ht="12.75" customHeight="1" x14ac:dyDescent="0.2">
      <c r="E412" s="3"/>
    </row>
    <row r="413" spans="5:5" ht="12.75" customHeight="1" x14ac:dyDescent="0.2">
      <c r="E413" s="3"/>
    </row>
    <row r="414" spans="5:5" ht="12.75" customHeight="1" x14ac:dyDescent="0.2">
      <c r="E414" s="3"/>
    </row>
    <row r="415" spans="5:5" ht="12.75" customHeight="1" x14ac:dyDescent="0.2">
      <c r="E415" s="3"/>
    </row>
    <row r="416" spans="5:5" ht="12.75" customHeight="1" x14ac:dyDescent="0.2">
      <c r="E416" s="3"/>
    </row>
    <row r="417" spans="5:5" ht="12.75" customHeight="1" x14ac:dyDescent="0.2">
      <c r="E417" s="3"/>
    </row>
    <row r="418" spans="5:5" ht="12.75" customHeight="1" x14ac:dyDescent="0.2">
      <c r="E418" s="3"/>
    </row>
    <row r="419" spans="5:5" ht="12.75" customHeight="1" x14ac:dyDescent="0.2">
      <c r="E419" s="3"/>
    </row>
    <row r="420" spans="5:5" ht="12.75" customHeight="1" x14ac:dyDescent="0.2">
      <c r="E420" s="3"/>
    </row>
    <row r="421" spans="5:5" ht="12.75" customHeight="1" x14ac:dyDescent="0.2">
      <c r="E421" s="3"/>
    </row>
    <row r="422" spans="5:5" ht="12.75" customHeight="1" x14ac:dyDescent="0.2">
      <c r="E422" s="3"/>
    </row>
    <row r="423" spans="5:5" ht="12.75" customHeight="1" x14ac:dyDescent="0.2">
      <c r="E423" s="3"/>
    </row>
    <row r="424" spans="5:5" ht="12.75" customHeight="1" x14ac:dyDescent="0.2">
      <c r="E424" s="3"/>
    </row>
    <row r="425" spans="5:5" ht="12.75" customHeight="1" x14ac:dyDescent="0.2">
      <c r="E425" s="3"/>
    </row>
    <row r="426" spans="5:5" ht="12.75" customHeight="1" x14ac:dyDescent="0.2">
      <c r="E426" s="3"/>
    </row>
    <row r="427" spans="5:5" ht="12.75" customHeight="1" x14ac:dyDescent="0.2">
      <c r="E427" s="3"/>
    </row>
    <row r="428" spans="5:5" ht="12.75" customHeight="1" x14ac:dyDescent="0.2">
      <c r="E428" s="3"/>
    </row>
    <row r="429" spans="5:5" ht="12.75" customHeight="1" x14ac:dyDescent="0.2">
      <c r="E429" s="3"/>
    </row>
    <row r="430" spans="5:5" ht="12.75" customHeight="1" x14ac:dyDescent="0.2">
      <c r="E430" s="3"/>
    </row>
    <row r="431" spans="5:5" ht="12.75" customHeight="1" x14ac:dyDescent="0.2">
      <c r="E431" s="3"/>
    </row>
    <row r="432" spans="5:5" ht="12.75" customHeight="1" x14ac:dyDescent="0.2">
      <c r="E432" s="3"/>
    </row>
    <row r="433" spans="5:5" ht="12.75" customHeight="1" x14ac:dyDescent="0.2">
      <c r="E433" s="3"/>
    </row>
    <row r="434" spans="5:5" ht="12.75" customHeight="1" x14ac:dyDescent="0.2">
      <c r="E434" s="3"/>
    </row>
    <row r="435" spans="5:5" ht="12.75" customHeight="1" x14ac:dyDescent="0.2">
      <c r="E435" s="3"/>
    </row>
    <row r="436" spans="5:5" ht="12.75" customHeight="1" x14ac:dyDescent="0.2">
      <c r="E436" s="3"/>
    </row>
    <row r="437" spans="5:5" ht="12.75" customHeight="1" x14ac:dyDescent="0.2">
      <c r="E437" s="3"/>
    </row>
    <row r="438" spans="5:5" ht="12.75" customHeight="1" x14ac:dyDescent="0.2">
      <c r="E438" s="3"/>
    </row>
    <row r="439" spans="5:5" ht="12.75" customHeight="1" x14ac:dyDescent="0.2">
      <c r="E439" s="3"/>
    </row>
    <row r="440" spans="5:5" ht="12.75" customHeight="1" x14ac:dyDescent="0.2">
      <c r="E440" s="3"/>
    </row>
    <row r="441" spans="5:5" ht="12.75" customHeight="1" x14ac:dyDescent="0.2">
      <c r="E441" s="3"/>
    </row>
    <row r="442" spans="5:5" ht="12.75" customHeight="1" x14ac:dyDescent="0.2">
      <c r="E442" s="3"/>
    </row>
    <row r="443" spans="5:5" ht="12.75" customHeight="1" x14ac:dyDescent="0.2">
      <c r="E443" s="3"/>
    </row>
    <row r="444" spans="5:5" ht="12.75" customHeight="1" x14ac:dyDescent="0.2">
      <c r="E444" s="3"/>
    </row>
    <row r="445" spans="5:5" ht="12.75" customHeight="1" x14ac:dyDescent="0.2">
      <c r="E445" s="3"/>
    </row>
    <row r="446" spans="5:5" ht="12.75" customHeight="1" x14ac:dyDescent="0.2">
      <c r="E446" s="3"/>
    </row>
    <row r="447" spans="5:5" ht="12.75" customHeight="1" x14ac:dyDescent="0.2">
      <c r="E447" s="3"/>
    </row>
    <row r="448" spans="5:5" ht="12.75" customHeight="1" x14ac:dyDescent="0.2">
      <c r="E448" s="3"/>
    </row>
    <row r="449" spans="5:5" ht="12.75" customHeight="1" x14ac:dyDescent="0.2">
      <c r="E449" s="3"/>
    </row>
    <row r="450" spans="5:5" ht="12.75" customHeight="1" x14ac:dyDescent="0.2">
      <c r="E450" s="3"/>
    </row>
    <row r="451" spans="5:5" ht="12.75" customHeight="1" x14ac:dyDescent="0.2">
      <c r="E451" s="3"/>
    </row>
    <row r="452" spans="5:5" ht="12.75" customHeight="1" x14ac:dyDescent="0.2">
      <c r="E452" s="3"/>
    </row>
    <row r="453" spans="5:5" ht="12.75" customHeight="1" x14ac:dyDescent="0.2">
      <c r="E453" s="3"/>
    </row>
    <row r="454" spans="5:5" ht="12.75" customHeight="1" x14ac:dyDescent="0.2">
      <c r="E454" s="3"/>
    </row>
    <row r="455" spans="5:5" ht="12.75" customHeight="1" x14ac:dyDescent="0.2">
      <c r="E455" s="3"/>
    </row>
    <row r="456" spans="5:5" ht="12.75" customHeight="1" x14ac:dyDescent="0.2">
      <c r="E456" s="3"/>
    </row>
    <row r="457" spans="5:5" ht="12.75" customHeight="1" x14ac:dyDescent="0.2">
      <c r="E457" s="3"/>
    </row>
    <row r="458" spans="5:5" ht="12.75" customHeight="1" x14ac:dyDescent="0.2">
      <c r="E458" s="3"/>
    </row>
    <row r="459" spans="5:5" ht="12.75" customHeight="1" x14ac:dyDescent="0.2">
      <c r="E459" s="3"/>
    </row>
    <row r="460" spans="5:5" ht="12.75" customHeight="1" x14ac:dyDescent="0.2">
      <c r="E460" s="3"/>
    </row>
    <row r="461" spans="5:5" ht="12.75" customHeight="1" x14ac:dyDescent="0.2">
      <c r="E461" s="3"/>
    </row>
    <row r="462" spans="5:5" ht="12.75" customHeight="1" x14ac:dyDescent="0.2">
      <c r="E462" s="3"/>
    </row>
    <row r="463" spans="5:5" ht="12.75" customHeight="1" x14ac:dyDescent="0.2">
      <c r="E463" s="3"/>
    </row>
    <row r="464" spans="5:5" ht="12.75" customHeight="1" x14ac:dyDescent="0.2">
      <c r="E464" s="3"/>
    </row>
    <row r="465" spans="5:5" ht="12.75" customHeight="1" x14ac:dyDescent="0.2">
      <c r="E465" s="3"/>
    </row>
    <row r="466" spans="5:5" ht="12.75" customHeight="1" x14ac:dyDescent="0.2">
      <c r="E466" s="3"/>
    </row>
    <row r="467" spans="5:5" ht="12.75" customHeight="1" x14ac:dyDescent="0.2">
      <c r="E467" s="3"/>
    </row>
    <row r="468" spans="5:5" ht="12.75" customHeight="1" x14ac:dyDescent="0.2">
      <c r="E468" s="3"/>
    </row>
    <row r="469" spans="5:5" ht="12.75" customHeight="1" x14ac:dyDescent="0.2">
      <c r="E469" s="3"/>
    </row>
    <row r="470" spans="5:5" ht="12.75" customHeight="1" x14ac:dyDescent="0.2">
      <c r="E470" s="3"/>
    </row>
    <row r="471" spans="5:5" ht="12.75" customHeight="1" x14ac:dyDescent="0.2">
      <c r="E471" s="3"/>
    </row>
    <row r="472" spans="5:5" ht="12.75" customHeight="1" x14ac:dyDescent="0.2">
      <c r="E472" s="3"/>
    </row>
    <row r="473" spans="5:5" ht="12.75" customHeight="1" x14ac:dyDescent="0.2">
      <c r="E473" s="3"/>
    </row>
    <row r="474" spans="5:5" ht="12.75" customHeight="1" x14ac:dyDescent="0.2">
      <c r="E474" s="3"/>
    </row>
    <row r="475" spans="5:5" ht="12.75" customHeight="1" x14ac:dyDescent="0.2">
      <c r="E475" s="3"/>
    </row>
    <row r="476" spans="5:5" ht="12.75" customHeight="1" x14ac:dyDescent="0.2">
      <c r="E476" s="3"/>
    </row>
    <row r="477" spans="5:5" ht="12.75" customHeight="1" x14ac:dyDescent="0.2">
      <c r="E477" s="3"/>
    </row>
    <row r="478" spans="5:5" ht="12.75" customHeight="1" x14ac:dyDescent="0.2">
      <c r="E478" s="3"/>
    </row>
    <row r="479" spans="5:5" ht="12.75" customHeight="1" x14ac:dyDescent="0.2">
      <c r="E479" s="3"/>
    </row>
    <row r="480" spans="5:5" ht="12.75" customHeight="1" x14ac:dyDescent="0.2">
      <c r="E480" s="3"/>
    </row>
    <row r="481" spans="5:5" ht="12.75" customHeight="1" x14ac:dyDescent="0.2">
      <c r="E481" s="3"/>
    </row>
    <row r="482" spans="5:5" ht="12.75" customHeight="1" x14ac:dyDescent="0.2">
      <c r="E482" s="3"/>
    </row>
    <row r="483" spans="5:5" ht="12.75" customHeight="1" x14ac:dyDescent="0.2">
      <c r="E483" s="3"/>
    </row>
    <row r="484" spans="5:5" ht="12.75" customHeight="1" x14ac:dyDescent="0.2">
      <c r="E484" s="3"/>
    </row>
    <row r="485" spans="5:5" ht="12.75" customHeight="1" x14ac:dyDescent="0.2">
      <c r="E485" s="3"/>
    </row>
    <row r="486" spans="5:5" ht="12.75" customHeight="1" x14ac:dyDescent="0.2">
      <c r="E486" s="3"/>
    </row>
    <row r="487" spans="5:5" ht="12.75" customHeight="1" x14ac:dyDescent="0.2">
      <c r="E487" s="3"/>
    </row>
    <row r="488" spans="5:5" ht="12.75" customHeight="1" x14ac:dyDescent="0.2">
      <c r="E488" s="3"/>
    </row>
    <row r="489" spans="5:5" ht="12.75" customHeight="1" x14ac:dyDescent="0.2">
      <c r="E489" s="3"/>
    </row>
    <row r="490" spans="5:5" ht="12.75" customHeight="1" x14ac:dyDescent="0.2">
      <c r="E490" s="3"/>
    </row>
    <row r="491" spans="5:5" ht="12.75" customHeight="1" x14ac:dyDescent="0.2">
      <c r="E491" s="3"/>
    </row>
    <row r="492" spans="5:5" ht="12.75" customHeight="1" x14ac:dyDescent="0.2">
      <c r="E492" s="3"/>
    </row>
    <row r="493" spans="5:5" ht="12.75" customHeight="1" x14ac:dyDescent="0.2">
      <c r="E493" s="3"/>
    </row>
    <row r="494" spans="5:5" ht="12.75" customHeight="1" x14ac:dyDescent="0.2">
      <c r="E494" s="3"/>
    </row>
    <row r="495" spans="5:5" ht="12.75" customHeight="1" x14ac:dyDescent="0.2">
      <c r="E495" s="3"/>
    </row>
    <row r="496" spans="5:5" ht="12.75" customHeight="1" x14ac:dyDescent="0.2">
      <c r="E496" s="3"/>
    </row>
    <row r="497" spans="5:5" ht="12.75" customHeight="1" x14ac:dyDescent="0.2">
      <c r="E497" s="3"/>
    </row>
    <row r="498" spans="5:5" ht="12.75" customHeight="1" x14ac:dyDescent="0.2">
      <c r="E498" s="3"/>
    </row>
    <row r="499" spans="5:5" ht="12.75" customHeight="1" x14ac:dyDescent="0.2">
      <c r="E499" s="3"/>
    </row>
    <row r="500" spans="5:5" ht="12.75" customHeight="1" x14ac:dyDescent="0.2">
      <c r="E500" s="3"/>
    </row>
    <row r="501" spans="5:5" ht="12.75" customHeight="1" x14ac:dyDescent="0.2">
      <c r="E501" s="3"/>
    </row>
    <row r="502" spans="5:5" ht="12.75" customHeight="1" x14ac:dyDescent="0.2">
      <c r="E502" s="3"/>
    </row>
    <row r="503" spans="5:5" ht="12.75" customHeight="1" x14ac:dyDescent="0.2">
      <c r="E503" s="3"/>
    </row>
    <row r="504" spans="5:5" ht="12.75" customHeight="1" x14ac:dyDescent="0.2">
      <c r="E504" s="3"/>
    </row>
    <row r="505" spans="5:5" ht="12.75" customHeight="1" x14ac:dyDescent="0.2">
      <c r="E505" s="3"/>
    </row>
    <row r="506" spans="5:5" ht="12.75" customHeight="1" x14ac:dyDescent="0.2">
      <c r="E506" s="3"/>
    </row>
    <row r="507" spans="5:5" ht="12.75" customHeight="1" x14ac:dyDescent="0.2">
      <c r="E507" s="3"/>
    </row>
    <row r="508" spans="5:5" ht="12.75" customHeight="1" x14ac:dyDescent="0.2">
      <c r="E508" s="3"/>
    </row>
    <row r="509" spans="5:5" ht="12.75" customHeight="1" x14ac:dyDescent="0.2">
      <c r="E509" s="3"/>
    </row>
    <row r="510" spans="5:5" ht="12.75" customHeight="1" x14ac:dyDescent="0.2">
      <c r="E510" s="3"/>
    </row>
    <row r="511" spans="5:5" ht="12.75" customHeight="1" x14ac:dyDescent="0.2">
      <c r="E511" s="3"/>
    </row>
    <row r="512" spans="5:5" ht="12.75" customHeight="1" x14ac:dyDescent="0.2">
      <c r="E512" s="3"/>
    </row>
    <row r="513" spans="5:5" ht="12.75" customHeight="1" x14ac:dyDescent="0.2">
      <c r="E513" s="3"/>
    </row>
    <row r="514" spans="5:5" ht="12.75" customHeight="1" x14ac:dyDescent="0.2">
      <c r="E514" s="3"/>
    </row>
    <row r="515" spans="5:5" ht="12.75" customHeight="1" x14ac:dyDescent="0.2">
      <c r="E515" s="3"/>
    </row>
    <row r="516" spans="5:5" ht="12.75" customHeight="1" x14ac:dyDescent="0.2">
      <c r="E516" s="3"/>
    </row>
    <row r="517" spans="5:5" ht="12.75" customHeight="1" x14ac:dyDescent="0.2">
      <c r="E517" s="3"/>
    </row>
    <row r="518" spans="5:5" ht="12.75" customHeight="1" x14ac:dyDescent="0.2">
      <c r="E518" s="3"/>
    </row>
    <row r="519" spans="5:5" ht="12.75" customHeight="1" x14ac:dyDescent="0.2">
      <c r="E519" s="3"/>
    </row>
    <row r="520" spans="5:5" ht="12.75" customHeight="1" x14ac:dyDescent="0.2">
      <c r="E520" s="3"/>
    </row>
    <row r="521" spans="5:5" ht="12.75" customHeight="1" x14ac:dyDescent="0.2">
      <c r="E521" s="3"/>
    </row>
    <row r="522" spans="5:5" ht="12.75" customHeight="1" x14ac:dyDescent="0.2">
      <c r="E522" s="3"/>
    </row>
    <row r="523" spans="5:5" ht="12.75" customHeight="1" x14ac:dyDescent="0.2">
      <c r="E523" s="3"/>
    </row>
    <row r="524" spans="5:5" ht="12.75" customHeight="1" x14ac:dyDescent="0.2">
      <c r="E524" s="3"/>
    </row>
    <row r="525" spans="5:5" ht="12.75" customHeight="1" x14ac:dyDescent="0.2">
      <c r="E525" s="3"/>
    </row>
    <row r="526" spans="5:5" ht="12.75" customHeight="1" x14ac:dyDescent="0.2">
      <c r="E526" s="3"/>
    </row>
    <row r="527" spans="5:5" ht="12.75" customHeight="1" x14ac:dyDescent="0.2">
      <c r="E527" s="3"/>
    </row>
    <row r="528" spans="5:5" ht="12.75" customHeight="1" x14ac:dyDescent="0.2">
      <c r="E528" s="3"/>
    </row>
    <row r="529" spans="5:5" ht="12.75" customHeight="1" x14ac:dyDescent="0.2">
      <c r="E529" s="3"/>
    </row>
    <row r="530" spans="5:5" ht="12.75" customHeight="1" x14ac:dyDescent="0.2">
      <c r="E530" s="3"/>
    </row>
    <row r="531" spans="5:5" ht="12.75" customHeight="1" x14ac:dyDescent="0.2">
      <c r="E531" s="3"/>
    </row>
    <row r="532" spans="5:5" ht="12.75" customHeight="1" x14ac:dyDescent="0.2">
      <c r="E532" s="3"/>
    </row>
    <row r="533" spans="5:5" ht="12.75" customHeight="1" x14ac:dyDescent="0.2">
      <c r="E533" s="3"/>
    </row>
    <row r="534" spans="5:5" ht="12.75" customHeight="1" x14ac:dyDescent="0.2">
      <c r="E534" s="3"/>
    </row>
    <row r="535" spans="5:5" ht="12.75" customHeight="1" x14ac:dyDescent="0.2">
      <c r="E535" s="3"/>
    </row>
    <row r="536" spans="5:5" ht="12.75" customHeight="1" x14ac:dyDescent="0.2">
      <c r="E536" s="3"/>
    </row>
    <row r="537" spans="5:5" ht="12.75" customHeight="1" x14ac:dyDescent="0.2">
      <c r="E537" s="3"/>
    </row>
    <row r="538" spans="5:5" ht="12.75" customHeight="1" x14ac:dyDescent="0.2">
      <c r="E538" s="3"/>
    </row>
    <row r="539" spans="5:5" ht="12.75" customHeight="1" x14ac:dyDescent="0.2">
      <c r="E539" s="3"/>
    </row>
    <row r="540" spans="5:5" ht="12.75" customHeight="1" x14ac:dyDescent="0.2">
      <c r="E540" s="3"/>
    </row>
    <row r="541" spans="5:5" ht="12.75" customHeight="1" x14ac:dyDescent="0.2">
      <c r="E541" s="3"/>
    </row>
    <row r="542" spans="5:5" ht="12.75" customHeight="1" x14ac:dyDescent="0.2">
      <c r="E542" s="3"/>
    </row>
    <row r="543" spans="5:5" ht="12.75" customHeight="1" x14ac:dyDescent="0.2">
      <c r="E543" s="3"/>
    </row>
    <row r="544" spans="5:5" ht="12.75" customHeight="1" x14ac:dyDescent="0.2">
      <c r="E544" s="3"/>
    </row>
    <row r="545" spans="5:5" ht="12.75" customHeight="1" x14ac:dyDescent="0.2">
      <c r="E545" s="3"/>
    </row>
    <row r="546" spans="5:5" ht="12.75" customHeight="1" x14ac:dyDescent="0.2">
      <c r="E546" s="3"/>
    </row>
    <row r="547" spans="5:5" ht="12.75" customHeight="1" x14ac:dyDescent="0.2">
      <c r="E547" s="3"/>
    </row>
    <row r="548" spans="5:5" ht="12.75" customHeight="1" x14ac:dyDescent="0.2">
      <c r="E548" s="3"/>
    </row>
    <row r="549" spans="5:5" ht="12.75" customHeight="1" x14ac:dyDescent="0.2">
      <c r="E549" s="3"/>
    </row>
    <row r="550" spans="5:5" ht="12.75" customHeight="1" x14ac:dyDescent="0.2">
      <c r="E550" s="3"/>
    </row>
    <row r="551" spans="5:5" ht="12.75" customHeight="1" x14ac:dyDescent="0.2">
      <c r="E551" s="3"/>
    </row>
    <row r="552" spans="5:5" ht="12.75" customHeight="1" x14ac:dyDescent="0.2">
      <c r="E552" s="3"/>
    </row>
    <row r="553" spans="5:5" ht="12.75" customHeight="1" x14ac:dyDescent="0.2">
      <c r="E553" s="3"/>
    </row>
    <row r="554" spans="5:5" ht="12.75" customHeight="1" x14ac:dyDescent="0.2">
      <c r="E554" s="3"/>
    </row>
    <row r="555" spans="5:5" ht="12.75" customHeight="1" x14ac:dyDescent="0.2">
      <c r="E555" s="3"/>
    </row>
    <row r="556" spans="5:5" ht="12.75" customHeight="1" x14ac:dyDescent="0.2">
      <c r="E556" s="3"/>
    </row>
    <row r="557" spans="5:5" ht="12.75" customHeight="1" x14ac:dyDescent="0.2">
      <c r="E557" s="3"/>
    </row>
    <row r="558" spans="5:5" ht="12.75" customHeight="1" x14ac:dyDescent="0.2">
      <c r="E558" s="3"/>
    </row>
    <row r="559" spans="5:5" ht="12.75" customHeight="1" x14ac:dyDescent="0.2">
      <c r="E559" s="3"/>
    </row>
    <row r="560" spans="5:5" ht="12.75" customHeight="1" x14ac:dyDescent="0.2">
      <c r="E560" s="3"/>
    </row>
    <row r="561" spans="5:5" ht="12.75" customHeight="1" x14ac:dyDescent="0.2">
      <c r="E561" s="3"/>
    </row>
    <row r="562" spans="5:5" ht="12.75" customHeight="1" x14ac:dyDescent="0.2">
      <c r="E562" s="3"/>
    </row>
    <row r="563" spans="5:5" ht="12.75" customHeight="1" x14ac:dyDescent="0.2">
      <c r="E563" s="3"/>
    </row>
    <row r="564" spans="5:5" ht="12.75" customHeight="1" x14ac:dyDescent="0.2">
      <c r="E564" s="3"/>
    </row>
    <row r="565" spans="5:5" ht="12.75" customHeight="1" x14ac:dyDescent="0.2">
      <c r="E565" s="3"/>
    </row>
    <row r="566" spans="5:5" ht="12.75" customHeight="1" x14ac:dyDescent="0.2">
      <c r="E566" s="3"/>
    </row>
    <row r="567" spans="5:5" ht="12.75" customHeight="1" x14ac:dyDescent="0.2">
      <c r="E567" s="3"/>
    </row>
    <row r="568" spans="5:5" ht="12.75" customHeight="1" x14ac:dyDescent="0.2">
      <c r="E568" s="3"/>
    </row>
    <row r="569" spans="5:5" ht="12.75" customHeight="1" x14ac:dyDescent="0.2">
      <c r="E569" s="3"/>
    </row>
    <row r="570" spans="5:5" ht="12.75" customHeight="1" x14ac:dyDescent="0.2">
      <c r="E570" s="3"/>
    </row>
    <row r="571" spans="5:5" ht="12.75" customHeight="1" x14ac:dyDescent="0.2">
      <c r="E571" s="3"/>
    </row>
    <row r="572" spans="5:5" ht="12.75" customHeight="1" x14ac:dyDescent="0.2">
      <c r="E572" s="3"/>
    </row>
    <row r="573" spans="5:5" ht="12.75" customHeight="1" x14ac:dyDescent="0.2">
      <c r="E573" s="3"/>
    </row>
    <row r="574" spans="5:5" ht="12.75" customHeight="1" x14ac:dyDescent="0.2">
      <c r="E574" s="3"/>
    </row>
    <row r="575" spans="5:5" ht="12.75" customHeight="1" x14ac:dyDescent="0.2">
      <c r="E575" s="3"/>
    </row>
    <row r="576" spans="5:5" ht="12.75" customHeight="1" x14ac:dyDescent="0.2">
      <c r="E576" s="3"/>
    </row>
    <row r="577" spans="5:5" ht="12.75" customHeight="1" x14ac:dyDescent="0.2">
      <c r="E577" s="3"/>
    </row>
    <row r="578" spans="5:5" ht="12.75" customHeight="1" x14ac:dyDescent="0.2">
      <c r="E578" s="3"/>
    </row>
    <row r="579" spans="5:5" ht="12.75" customHeight="1" x14ac:dyDescent="0.2">
      <c r="E579" s="3"/>
    </row>
    <row r="580" spans="5:5" ht="12.75" customHeight="1" x14ac:dyDescent="0.2">
      <c r="E580" s="3"/>
    </row>
    <row r="581" spans="5:5" ht="12.75" customHeight="1" x14ac:dyDescent="0.2">
      <c r="E581" s="3"/>
    </row>
    <row r="582" spans="5:5" ht="12.75" customHeight="1" x14ac:dyDescent="0.2">
      <c r="E582" s="3"/>
    </row>
    <row r="583" spans="5:5" ht="12.75" customHeight="1" x14ac:dyDescent="0.2">
      <c r="E583" s="3"/>
    </row>
    <row r="584" spans="5:5" ht="12.75" customHeight="1" x14ac:dyDescent="0.2">
      <c r="E584" s="3"/>
    </row>
    <row r="585" spans="5:5" ht="12.75" customHeight="1" x14ac:dyDescent="0.2">
      <c r="E585" s="3"/>
    </row>
    <row r="586" spans="5:5" ht="12.75" customHeight="1" x14ac:dyDescent="0.2">
      <c r="E586" s="3"/>
    </row>
    <row r="587" spans="5:5" ht="12.75" customHeight="1" x14ac:dyDescent="0.2">
      <c r="E587" s="3"/>
    </row>
    <row r="588" spans="5:5" ht="12.75" customHeight="1" x14ac:dyDescent="0.2">
      <c r="E588" s="3"/>
    </row>
    <row r="589" spans="5:5" ht="12.75" customHeight="1" x14ac:dyDescent="0.2">
      <c r="E589" s="3"/>
    </row>
    <row r="590" spans="5:5" ht="12.75" customHeight="1" x14ac:dyDescent="0.2">
      <c r="E590" s="3"/>
    </row>
    <row r="591" spans="5:5" ht="12.75" customHeight="1" x14ac:dyDescent="0.2">
      <c r="E591" s="3"/>
    </row>
    <row r="592" spans="5:5" ht="12.75" customHeight="1" x14ac:dyDescent="0.2">
      <c r="E592" s="3"/>
    </row>
    <row r="593" spans="5:5" ht="12.75" customHeight="1" x14ac:dyDescent="0.2">
      <c r="E593" s="3"/>
    </row>
    <row r="594" spans="5:5" ht="12.75" customHeight="1" x14ac:dyDescent="0.2">
      <c r="E594" s="3"/>
    </row>
    <row r="595" spans="5:5" ht="12.75" customHeight="1" x14ac:dyDescent="0.2">
      <c r="E595" s="3"/>
    </row>
    <row r="596" spans="5:5" ht="12.75" customHeight="1" x14ac:dyDescent="0.2">
      <c r="E596" s="3"/>
    </row>
    <row r="597" spans="5:5" ht="12.75" customHeight="1" x14ac:dyDescent="0.2">
      <c r="E597" s="3"/>
    </row>
    <row r="598" spans="5:5" ht="12.75" customHeight="1" x14ac:dyDescent="0.2">
      <c r="E598" s="3"/>
    </row>
    <row r="599" spans="5:5" ht="12.75" customHeight="1" x14ac:dyDescent="0.2">
      <c r="E599" s="3"/>
    </row>
    <row r="600" spans="5:5" ht="12.75" customHeight="1" x14ac:dyDescent="0.2">
      <c r="E600" s="3"/>
    </row>
    <row r="601" spans="5:5" ht="12.75" customHeight="1" x14ac:dyDescent="0.2">
      <c r="E601" s="3"/>
    </row>
    <row r="602" spans="5:5" ht="12.75" customHeight="1" x14ac:dyDescent="0.2">
      <c r="E602" s="3"/>
    </row>
    <row r="603" spans="5:5" ht="12.75" customHeight="1" x14ac:dyDescent="0.2">
      <c r="E603" s="3"/>
    </row>
    <row r="604" spans="5:5" ht="12.75" customHeight="1" x14ac:dyDescent="0.2">
      <c r="E604" s="3"/>
    </row>
    <row r="605" spans="5:5" ht="12.75" customHeight="1" x14ac:dyDescent="0.2">
      <c r="E605" s="3"/>
    </row>
    <row r="606" spans="5:5" ht="12.75" customHeight="1" x14ac:dyDescent="0.2">
      <c r="E606" s="3"/>
    </row>
    <row r="607" spans="5:5" ht="12.75" customHeight="1" x14ac:dyDescent="0.2">
      <c r="E607" s="3"/>
    </row>
    <row r="608" spans="5:5" ht="12.75" customHeight="1" x14ac:dyDescent="0.2">
      <c r="E608" s="3"/>
    </row>
    <row r="609" spans="5:5" ht="12.75" customHeight="1" x14ac:dyDescent="0.2">
      <c r="E609" s="3"/>
    </row>
    <row r="610" spans="5:5" ht="12.75" customHeight="1" x14ac:dyDescent="0.2">
      <c r="E610" s="3"/>
    </row>
    <row r="611" spans="5:5" ht="12.75" customHeight="1" x14ac:dyDescent="0.2">
      <c r="E611" s="3"/>
    </row>
    <row r="612" spans="5:5" ht="12.75" customHeight="1" x14ac:dyDescent="0.2">
      <c r="E612" s="3"/>
    </row>
    <row r="613" spans="5:5" ht="12.75" customHeight="1" x14ac:dyDescent="0.2">
      <c r="E613" s="3"/>
    </row>
    <row r="614" spans="5:5" ht="12.75" customHeight="1" x14ac:dyDescent="0.2">
      <c r="E614" s="3"/>
    </row>
    <row r="615" spans="5:5" ht="12.75" customHeight="1" x14ac:dyDescent="0.2">
      <c r="E615" s="3"/>
    </row>
    <row r="616" spans="5:5" ht="12.75" customHeight="1" x14ac:dyDescent="0.2">
      <c r="E616" s="3"/>
    </row>
    <row r="617" spans="5:5" ht="12.75" customHeight="1" x14ac:dyDescent="0.2">
      <c r="E617" s="3"/>
    </row>
    <row r="618" spans="5:5" ht="12.75" customHeight="1" x14ac:dyDescent="0.2">
      <c r="E618" s="3"/>
    </row>
    <row r="619" spans="5:5" ht="12.75" customHeight="1" x14ac:dyDescent="0.2">
      <c r="E619" s="3"/>
    </row>
    <row r="620" spans="5:5" ht="12.75" customHeight="1" x14ac:dyDescent="0.2">
      <c r="E620" s="3"/>
    </row>
    <row r="621" spans="5:5" ht="12.75" customHeight="1" x14ac:dyDescent="0.2">
      <c r="E621" s="3"/>
    </row>
    <row r="622" spans="5:5" ht="12.75" customHeight="1" x14ac:dyDescent="0.2">
      <c r="E622" s="3"/>
    </row>
    <row r="623" spans="5:5" ht="12.75" customHeight="1" x14ac:dyDescent="0.2">
      <c r="E623" s="3"/>
    </row>
    <row r="624" spans="5:5" ht="12.75" customHeight="1" x14ac:dyDescent="0.2">
      <c r="E624" s="3"/>
    </row>
    <row r="625" spans="5:5" ht="12.75" customHeight="1" x14ac:dyDescent="0.2">
      <c r="E625" s="3"/>
    </row>
    <row r="626" spans="5:5" ht="12.75" customHeight="1" x14ac:dyDescent="0.2">
      <c r="E626" s="3"/>
    </row>
    <row r="627" spans="5:5" ht="12.75" customHeight="1" x14ac:dyDescent="0.2">
      <c r="E627" s="3"/>
    </row>
    <row r="628" spans="5:5" ht="12.75" customHeight="1" x14ac:dyDescent="0.2">
      <c r="E628" s="3"/>
    </row>
    <row r="629" spans="5:5" ht="12.75" customHeight="1" x14ac:dyDescent="0.2">
      <c r="E629" s="3"/>
    </row>
    <row r="630" spans="5:5" ht="12.75" customHeight="1" x14ac:dyDescent="0.2">
      <c r="E630" s="3"/>
    </row>
    <row r="631" spans="5:5" ht="12.75" customHeight="1" x14ac:dyDescent="0.2">
      <c r="E631" s="3"/>
    </row>
    <row r="632" spans="5:5" ht="12.75" customHeight="1" x14ac:dyDescent="0.2">
      <c r="E632" s="3"/>
    </row>
    <row r="633" spans="5:5" ht="12.75" customHeight="1" x14ac:dyDescent="0.2">
      <c r="E633" s="3"/>
    </row>
    <row r="634" spans="5:5" ht="12.75" customHeight="1" x14ac:dyDescent="0.2">
      <c r="E634" s="3"/>
    </row>
    <row r="635" spans="5:5" ht="12.75" customHeight="1" x14ac:dyDescent="0.2">
      <c r="E635" s="3"/>
    </row>
    <row r="636" spans="5:5" ht="12.75" customHeight="1" x14ac:dyDescent="0.2">
      <c r="E636" s="3"/>
    </row>
    <row r="637" spans="5:5" ht="12.75" customHeight="1" x14ac:dyDescent="0.2">
      <c r="E637" s="3"/>
    </row>
    <row r="638" spans="5:5" ht="12.75" customHeight="1" x14ac:dyDescent="0.2">
      <c r="E638" s="3"/>
    </row>
    <row r="639" spans="5:5" ht="12.75" customHeight="1" x14ac:dyDescent="0.2">
      <c r="E639" s="3"/>
    </row>
    <row r="640" spans="5:5" ht="12.75" customHeight="1" x14ac:dyDescent="0.2">
      <c r="E640" s="3"/>
    </row>
    <row r="641" spans="5:5" ht="12.75" customHeight="1" x14ac:dyDescent="0.2">
      <c r="E641" s="3"/>
    </row>
    <row r="642" spans="5:5" ht="12.75" customHeight="1" x14ac:dyDescent="0.2">
      <c r="E642" s="3"/>
    </row>
    <row r="643" spans="5:5" ht="12.75" customHeight="1" x14ac:dyDescent="0.2">
      <c r="E643" s="3"/>
    </row>
    <row r="644" spans="5:5" ht="12.75" customHeight="1" x14ac:dyDescent="0.2">
      <c r="E644" s="3"/>
    </row>
    <row r="645" spans="5:5" ht="12.75" customHeight="1" x14ac:dyDescent="0.2">
      <c r="E645" s="3"/>
    </row>
    <row r="646" spans="5:5" ht="12.75" customHeight="1" x14ac:dyDescent="0.2">
      <c r="E646" s="3"/>
    </row>
    <row r="647" spans="5:5" ht="12.75" customHeight="1" x14ac:dyDescent="0.2">
      <c r="E647" s="3"/>
    </row>
    <row r="648" spans="5:5" ht="12.75" customHeight="1" x14ac:dyDescent="0.2">
      <c r="E648" s="3"/>
    </row>
    <row r="649" spans="5:5" ht="12.75" customHeight="1" x14ac:dyDescent="0.2">
      <c r="E649" s="3"/>
    </row>
    <row r="650" spans="5:5" ht="12.75" customHeight="1" x14ac:dyDescent="0.2">
      <c r="E650" s="3"/>
    </row>
    <row r="651" spans="5:5" ht="12.75" customHeight="1" x14ac:dyDescent="0.2">
      <c r="E651" s="3"/>
    </row>
    <row r="652" spans="5:5" ht="12.75" customHeight="1" x14ac:dyDescent="0.2">
      <c r="E652" s="3"/>
    </row>
    <row r="653" spans="5:5" ht="12.75" customHeight="1" x14ac:dyDescent="0.2">
      <c r="E653" s="3"/>
    </row>
    <row r="654" spans="5:5" ht="12.75" customHeight="1" x14ac:dyDescent="0.2">
      <c r="E654" s="3"/>
    </row>
    <row r="655" spans="5:5" ht="12.75" customHeight="1" x14ac:dyDescent="0.2">
      <c r="E655" s="3"/>
    </row>
    <row r="656" spans="5:5" ht="12.75" customHeight="1" x14ac:dyDescent="0.2">
      <c r="E656" s="3"/>
    </row>
    <row r="657" spans="5:5" ht="12.75" customHeight="1" x14ac:dyDescent="0.2">
      <c r="E657" s="3"/>
    </row>
    <row r="658" spans="5:5" ht="12.75" customHeight="1" x14ac:dyDescent="0.2">
      <c r="E658" s="3"/>
    </row>
    <row r="659" spans="5:5" ht="12.75" customHeight="1" x14ac:dyDescent="0.2">
      <c r="E659" s="3"/>
    </row>
    <row r="660" spans="5:5" ht="12.75" customHeight="1" x14ac:dyDescent="0.2">
      <c r="E660" s="3"/>
    </row>
    <row r="661" spans="5:5" ht="12.75" customHeight="1" x14ac:dyDescent="0.2">
      <c r="E661" s="3"/>
    </row>
    <row r="662" spans="5:5" ht="12.75" customHeight="1" x14ac:dyDescent="0.2">
      <c r="E662" s="3"/>
    </row>
    <row r="663" spans="5:5" ht="12.75" customHeight="1" x14ac:dyDescent="0.2">
      <c r="E663" s="3"/>
    </row>
    <row r="664" spans="5:5" ht="12.75" customHeight="1" x14ac:dyDescent="0.2">
      <c r="E664" s="3"/>
    </row>
    <row r="665" spans="5:5" ht="12.75" customHeight="1" x14ac:dyDescent="0.2">
      <c r="E665" s="3"/>
    </row>
    <row r="666" spans="5:5" ht="12.75" customHeight="1" x14ac:dyDescent="0.2">
      <c r="E666" s="3"/>
    </row>
    <row r="667" spans="5:5" ht="12.75" customHeight="1" x14ac:dyDescent="0.2">
      <c r="E667" s="3"/>
    </row>
    <row r="668" spans="5:5" ht="12.75" customHeight="1" x14ac:dyDescent="0.2">
      <c r="E668" s="3"/>
    </row>
    <row r="669" spans="5:5" ht="12.75" customHeight="1" x14ac:dyDescent="0.2">
      <c r="E669" s="3"/>
    </row>
    <row r="670" spans="5:5" ht="12.75" customHeight="1" x14ac:dyDescent="0.2">
      <c r="E670" s="3"/>
    </row>
    <row r="671" spans="5:5" ht="12.75" customHeight="1" x14ac:dyDescent="0.2">
      <c r="E671" s="3"/>
    </row>
    <row r="672" spans="5:5" ht="12.75" customHeight="1" x14ac:dyDescent="0.2">
      <c r="E672" s="3"/>
    </row>
    <row r="673" spans="5:5" ht="12.75" customHeight="1" x14ac:dyDescent="0.2">
      <c r="E673" s="3"/>
    </row>
    <row r="674" spans="5:5" ht="12.75" customHeight="1" x14ac:dyDescent="0.2">
      <c r="E674" s="3"/>
    </row>
    <row r="675" spans="5:5" ht="12.75" customHeight="1" x14ac:dyDescent="0.2">
      <c r="E675" s="3"/>
    </row>
    <row r="676" spans="5:5" ht="12.75" customHeight="1" x14ac:dyDescent="0.2">
      <c r="E676" s="3"/>
    </row>
    <row r="677" spans="5:5" ht="12.75" customHeight="1" x14ac:dyDescent="0.2">
      <c r="E677" s="3"/>
    </row>
    <row r="678" spans="5:5" ht="12.75" customHeight="1" x14ac:dyDescent="0.2">
      <c r="E678" s="3"/>
    </row>
    <row r="679" spans="5:5" ht="12.75" customHeight="1" x14ac:dyDescent="0.2">
      <c r="E679" s="3"/>
    </row>
    <row r="680" spans="5:5" ht="12.75" customHeight="1" x14ac:dyDescent="0.2">
      <c r="E680" s="3"/>
    </row>
    <row r="681" spans="5:5" ht="12.75" customHeight="1" x14ac:dyDescent="0.2">
      <c r="E681" s="3"/>
    </row>
    <row r="682" spans="5:5" ht="12.75" customHeight="1" x14ac:dyDescent="0.2">
      <c r="E682" s="3"/>
    </row>
    <row r="683" spans="5:5" ht="12.75" customHeight="1" x14ac:dyDescent="0.2">
      <c r="E683" s="3"/>
    </row>
    <row r="684" spans="5:5" ht="12.75" customHeight="1" x14ac:dyDescent="0.2">
      <c r="E684" s="3"/>
    </row>
    <row r="685" spans="5:5" ht="12.75" customHeight="1" x14ac:dyDescent="0.2">
      <c r="E685" s="3"/>
    </row>
    <row r="686" spans="5:5" ht="12.75" customHeight="1" x14ac:dyDescent="0.2">
      <c r="E686" s="3"/>
    </row>
    <row r="687" spans="5:5" ht="12.75" customHeight="1" x14ac:dyDescent="0.2">
      <c r="E687" s="3"/>
    </row>
    <row r="688" spans="5:5" ht="12.75" customHeight="1" x14ac:dyDescent="0.2">
      <c r="E688" s="3"/>
    </row>
    <row r="689" spans="5:5" ht="12.75" customHeight="1" x14ac:dyDescent="0.2">
      <c r="E689" s="3"/>
    </row>
    <row r="690" spans="5:5" ht="12.75" customHeight="1" x14ac:dyDescent="0.2">
      <c r="E690" s="3"/>
    </row>
    <row r="691" spans="5:5" ht="12.75" customHeight="1" x14ac:dyDescent="0.2">
      <c r="E691" s="3"/>
    </row>
    <row r="692" spans="5:5" ht="12.75" customHeight="1" x14ac:dyDescent="0.2">
      <c r="E692" s="3"/>
    </row>
    <row r="693" spans="5:5" ht="12.75" customHeight="1" x14ac:dyDescent="0.2">
      <c r="E693" s="3"/>
    </row>
    <row r="694" spans="5:5" ht="12.75" customHeight="1" x14ac:dyDescent="0.2">
      <c r="E694" s="3"/>
    </row>
    <row r="695" spans="5:5" ht="12.75" customHeight="1" x14ac:dyDescent="0.2">
      <c r="E695" s="3"/>
    </row>
    <row r="696" spans="5:5" ht="12.75" customHeight="1" x14ac:dyDescent="0.2">
      <c r="E696" s="3"/>
    </row>
    <row r="697" spans="5:5" ht="12.75" customHeight="1" x14ac:dyDescent="0.2">
      <c r="E697" s="3"/>
    </row>
    <row r="698" spans="5:5" ht="12.75" customHeight="1" x14ac:dyDescent="0.2">
      <c r="E698" s="3"/>
    </row>
    <row r="699" spans="5:5" ht="12.75" customHeight="1" x14ac:dyDescent="0.2">
      <c r="E699" s="3"/>
    </row>
    <row r="700" spans="5:5" ht="12.75" customHeight="1" x14ac:dyDescent="0.2">
      <c r="E700" s="3"/>
    </row>
    <row r="701" spans="5:5" ht="12.75" customHeight="1" x14ac:dyDescent="0.2">
      <c r="E701" s="3"/>
    </row>
    <row r="702" spans="5:5" ht="12.75" customHeight="1" x14ac:dyDescent="0.2">
      <c r="E702" s="3"/>
    </row>
    <row r="703" spans="5:5" ht="12.75" customHeight="1" x14ac:dyDescent="0.2">
      <c r="E703" s="3"/>
    </row>
    <row r="704" spans="5:5" ht="12.75" customHeight="1" x14ac:dyDescent="0.2">
      <c r="E704" s="3"/>
    </row>
    <row r="705" spans="5:5" ht="12.75" customHeight="1" x14ac:dyDescent="0.2">
      <c r="E705" s="3"/>
    </row>
    <row r="706" spans="5:5" ht="12.75" customHeight="1" x14ac:dyDescent="0.2">
      <c r="E706" s="3"/>
    </row>
    <row r="707" spans="5:5" ht="12.75" customHeight="1" x14ac:dyDescent="0.2">
      <c r="E707" s="3"/>
    </row>
    <row r="708" spans="5:5" ht="12.75" customHeight="1" x14ac:dyDescent="0.2">
      <c r="E708" s="3"/>
    </row>
    <row r="709" spans="5:5" ht="12.75" customHeight="1" x14ac:dyDescent="0.2">
      <c r="E709" s="3"/>
    </row>
    <row r="710" spans="5:5" ht="12.75" customHeight="1" x14ac:dyDescent="0.2">
      <c r="E710" s="3"/>
    </row>
    <row r="711" spans="5:5" ht="12.75" customHeight="1" x14ac:dyDescent="0.2">
      <c r="E711" s="3"/>
    </row>
    <row r="712" spans="5:5" ht="12.75" customHeight="1" x14ac:dyDescent="0.2">
      <c r="E712" s="3"/>
    </row>
    <row r="713" spans="5:5" ht="12.75" customHeight="1" x14ac:dyDescent="0.2">
      <c r="E713" s="3"/>
    </row>
    <row r="714" spans="5:5" ht="12.75" customHeight="1" x14ac:dyDescent="0.2">
      <c r="E714" s="3"/>
    </row>
    <row r="715" spans="5:5" ht="12.75" customHeight="1" x14ac:dyDescent="0.2">
      <c r="E715" s="3"/>
    </row>
    <row r="716" spans="5:5" ht="12.75" customHeight="1" x14ac:dyDescent="0.2">
      <c r="E716" s="3"/>
    </row>
    <row r="717" spans="5:5" ht="12.75" customHeight="1" x14ac:dyDescent="0.2">
      <c r="E717" s="3"/>
    </row>
    <row r="718" spans="5:5" ht="12.75" customHeight="1" x14ac:dyDescent="0.2">
      <c r="E718" s="3"/>
    </row>
    <row r="719" spans="5:5" ht="12.75" customHeight="1" x14ac:dyDescent="0.2">
      <c r="E719" s="3"/>
    </row>
    <row r="720" spans="5:5" ht="12.75" customHeight="1" x14ac:dyDescent="0.2">
      <c r="E720" s="3"/>
    </row>
    <row r="721" spans="5:5" ht="12.75" customHeight="1" x14ac:dyDescent="0.2">
      <c r="E721" s="3"/>
    </row>
    <row r="722" spans="5:5" ht="12.75" customHeight="1" x14ac:dyDescent="0.2">
      <c r="E722" s="3"/>
    </row>
    <row r="723" spans="5:5" ht="12.75" customHeight="1" x14ac:dyDescent="0.2">
      <c r="E723" s="3"/>
    </row>
    <row r="724" spans="5:5" ht="12.75" customHeight="1" x14ac:dyDescent="0.2">
      <c r="E724" s="3"/>
    </row>
    <row r="725" spans="5:5" ht="12.75" customHeight="1" x14ac:dyDescent="0.2">
      <c r="E725" s="3"/>
    </row>
    <row r="726" spans="5:5" ht="12.75" customHeight="1" x14ac:dyDescent="0.2">
      <c r="E726" s="3"/>
    </row>
    <row r="727" spans="5:5" ht="12.75" customHeight="1" x14ac:dyDescent="0.2">
      <c r="E727" s="3"/>
    </row>
    <row r="728" spans="5:5" ht="12.75" customHeight="1" x14ac:dyDescent="0.2">
      <c r="E728" s="3"/>
    </row>
    <row r="729" spans="5:5" ht="12.75" customHeight="1" x14ac:dyDescent="0.2">
      <c r="E729" s="3"/>
    </row>
    <row r="730" spans="5:5" ht="12.75" customHeight="1" x14ac:dyDescent="0.2">
      <c r="E730" s="3"/>
    </row>
    <row r="731" spans="5:5" ht="12.75" customHeight="1" x14ac:dyDescent="0.2">
      <c r="E731" s="3"/>
    </row>
    <row r="732" spans="5:5" ht="12.75" customHeight="1" x14ac:dyDescent="0.2">
      <c r="E732" s="3"/>
    </row>
    <row r="733" spans="5:5" ht="12.75" customHeight="1" x14ac:dyDescent="0.2">
      <c r="E733" s="3"/>
    </row>
    <row r="734" spans="5:5" ht="12.75" customHeight="1" x14ac:dyDescent="0.2">
      <c r="E734" s="3"/>
    </row>
    <row r="735" spans="5:5" ht="12.75" customHeight="1" x14ac:dyDescent="0.2">
      <c r="E735" s="3"/>
    </row>
    <row r="736" spans="5:5" ht="12.75" customHeight="1" x14ac:dyDescent="0.2">
      <c r="E736" s="3"/>
    </row>
    <row r="737" spans="5:5" ht="12.75" customHeight="1" x14ac:dyDescent="0.2">
      <c r="E737" s="3"/>
    </row>
    <row r="738" spans="5:5" ht="12.75" customHeight="1" x14ac:dyDescent="0.2">
      <c r="E738" s="3"/>
    </row>
    <row r="739" spans="5:5" ht="12.75" customHeight="1" x14ac:dyDescent="0.2">
      <c r="E739" s="3"/>
    </row>
    <row r="740" spans="5:5" ht="12.75" customHeight="1" x14ac:dyDescent="0.2">
      <c r="E740" s="3"/>
    </row>
    <row r="741" spans="5:5" ht="12.75" customHeight="1" x14ac:dyDescent="0.2">
      <c r="E741" s="3"/>
    </row>
    <row r="742" spans="5:5" ht="12.75" customHeight="1" x14ac:dyDescent="0.2">
      <c r="E742" s="3"/>
    </row>
    <row r="743" spans="5:5" ht="12.75" customHeight="1" x14ac:dyDescent="0.2">
      <c r="E743" s="3"/>
    </row>
    <row r="744" spans="5:5" ht="12.75" customHeight="1" x14ac:dyDescent="0.2">
      <c r="E744" s="3"/>
    </row>
    <row r="745" spans="5:5" ht="12.75" customHeight="1" x14ac:dyDescent="0.2">
      <c r="E745" s="3"/>
    </row>
    <row r="746" spans="5:5" ht="12.75" customHeight="1" x14ac:dyDescent="0.2">
      <c r="E746" s="3"/>
    </row>
    <row r="747" spans="5:5" ht="12.75" customHeight="1" x14ac:dyDescent="0.2">
      <c r="E747" s="3"/>
    </row>
    <row r="748" spans="5:5" ht="12.75" customHeight="1" x14ac:dyDescent="0.2">
      <c r="E748" s="3"/>
    </row>
    <row r="749" spans="5:5" ht="12.75" customHeight="1" x14ac:dyDescent="0.2">
      <c r="E749" s="3"/>
    </row>
    <row r="750" spans="5:5" ht="12.75" customHeight="1" x14ac:dyDescent="0.2">
      <c r="E750" s="3"/>
    </row>
    <row r="751" spans="5:5" ht="12.75" customHeight="1" x14ac:dyDescent="0.2">
      <c r="E751" s="3"/>
    </row>
    <row r="752" spans="5:5" ht="12.75" customHeight="1" x14ac:dyDescent="0.2">
      <c r="E752" s="3"/>
    </row>
    <row r="753" spans="5:5" ht="12.75" customHeight="1" x14ac:dyDescent="0.2">
      <c r="E753" s="3"/>
    </row>
    <row r="754" spans="5:5" ht="12.75" customHeight="1" x14ac:dyDescent="0.2">
      <c r="E754" s="3"/>
    </row>
    <row r="755" spans="5:5" ht="12.75" customHeight="1" x14ac:dyDescent="0.2">
      <c r="E755" s="3"/>
    </row>
    <row r="756" spans="5:5" ht="12.75" customHeight="1" x14ac:dyDescent="0.2">
      <c r="E756" s="3"/>
    </row>
    <row r="757" spans="5:5" ht="12.75" customHeight="1" x14ac:dyDescent="0.2">
      <c r="E757" s="3"/>
    </row>
    <row r="758" spans="5:5" ht="12.75" customHeight="1" x14ac:dyDescent="0.2">
      <c r="E758" s="3"/>
    </row>
    <row r="759" spans="5:5" ht="12.75" customHeight="1" x14ac:dyDescent="0.2">
      <c r="E759" s="3"/>
    </row>
    <row r="760" spans="5:5" ht="12.75" customHeight="1" x14ac:dyDescent="0.2">
      <c r="E760" s="3"/>
    </row>
    <row r="761" spans="5:5" ht="12.75" customHeight="1" x14ac:dyDescent="0.2">
      <c r="E761" s="3"/>
    </row>
    <row r="762" spans="5:5" ht="12.75" customHeight="1" x14ac:dyDescent="0.2">
      <c r="E762" s="3"/>
    </row>
    <row r="763" spans="5:5" ht="12.75" customHeight="1" x14ac:dyDescent="0.2">
      <c r="E763" s="3"/>
    </row>
    <row r="764" spans="5:5" ht="12.75" customHeight="1" x14ac:dyDescent="0.2">
      <c r="E764" s="3"/>
    </row>
    <row r="765" spans="5:5" ht="12.75" customHeight="1" x14ac:dyDescent="0.2">
      <c r="E765" s="3"/>
    </row>
    <row r="766" spans="5:5" ht="12.75" customHeight="1" x14ac:dyDescent="0.2">
      <c r="E766" s="3"/>
    </row>
    <row r="767" spans="5:5" ht="12.75" customHeight="1" x14ac:dyDescent="0.2">
      <c r="E767" s="3"/>
    </row>
    <row r="768" spans="5:5" ht="12.75" customHeight="1" x14ac:dyDescent="0.2">
      <c r="E768" s="3"/>
    </row>
    <row r="769" spans="5:5" ht="12.75" customHeight="1" x14ac:dyDescent="0.2">
      <c r="E769" s="3"/>
    </row>
    <row r="770" spans="5:5" ht="12.75" customHeight="1" x14ac:dyDescent="0.2">
      <c r="E770" s="3"/>
    </row>
    <row r="771" spans="5:5" ht="12.75" customHeight="1" x14ac:dyDescent="0.2">
      <c r="E771" s="3"/>
    </row>
    <row r="772" spans="5:5" ht="12.75" customHeight="1" x14ac:dyDescent="0.2">
      <c r="E772" s="3"/>
    </row>
    <row r="773" spans="5:5" ht="12.75" customHeight="1" x14ac:dyDescent="0.2">
      <c r="E773" s="3"/>
    </row>
    <row r="774" spans="5:5" ht="12.75" customHeight="1" x14ac:dyDescent="0.2">
      <c r="E774" s="3"/>
    </row>
    <row r="775" spans="5:5" ht="12.75" customHeight="1" x14ac:dyDescent="0.2">
      <c r="E775" s="3"/>
    </row>
    <row r="776" spans="5:5" ht="12.75" customHeight="1" x14ac:dyDescent="0.2">
      <c r="E776" s="3"/>
    </row>
    <row r="777" spans="5:5" ht="12.75" customHeight="1" x14ac:dyDescent="0.2">
      <c r="E777" s="3"/>
    </row>
    <row r="778" spans="5:5" ht="12.75" customHeight="1" x14ac:dyDescent="0.2">
      <c r="E778" s="3"/>
    </row>
    <row r="779" spans="5:5" ht="12.75" customHeight="1" x14ac:dyDescent="0.2">
      <c r="E779" s="3"/>
    </row>
    <row r="780" spans="5:5" ht="12.75" customHeight="1" x14ac:dyDescent="0.2">
      <c r="E780" s="3"/>
    </row>
    <row r="781" spans="5:5" ht="12.75" customHeight="1" x14ac:dyDescent="0.2">
      <c r="E781" s="3"/>
    </row>
    <row r="782" spans="5:5" ht="12.75" customHeight="1" x14ac:dyDescent="0.2">
      <c r="E782" s="3"/>
    </row>
    <row r="783" spans="5:5" ht="12.75" customHeight="1" x14ac:dyDescent="0.2">
      <c r="E783" s="3"/>
    </row>
    <row r="784" spans="5:5" ht="12.75" customHeight="1" x14ac:dyDescent="0.2">
      <c r="E784" s="3"/>
    </row>
    <row r="785" spans="5:5" ht="12.75" customHeight="1" x14ac:dyDescent="0.2">
      <c r="E785" s="3"/>
    </row>
    <row r="786" spans="5:5" ht="12.75" customHeight="1" x14ac:dyDescent="0.2">
      <c r="E786" s="3"/>
    </row>
    <row r="787" spans="5:5" ht="12.75" customHeight="1" x14ac:dyDescent="0.2">
      <c r="E787" s="3"/>
    </row>
    <row r="788" spans="5:5" ht="12.75" customHeight="1" x14ac:dyDescent="0.2">
      <c r="E788" s="3"/>
    </row>
    <row r="789" spans="5:5" ht="12.75" customHeight="1" x14ac:dyDescent="0.2">
      <c r="E789" s="3"/>
    </row>
    <row r="790" spans="5:5" ht="12.75" customHeight="1" x14ac:dyDescent="0.2">
      <c r="E790" s="3"/>
    </row>
    <row r="791" spans="5:5" ht="12.75" customHeight="1" x14ac:dyDescent="0.2">
      <c r="E791" s="3"/>
    </row>
    <row r="792" spans="5:5" ht="12.75" customHeight="1" x14ac:dyDescent="0.2">
      <c r="E792" s="3"/>
    </row>
    <row r="793" spans="5:5" ht="12.75" customHeight="1" x14ac:dyDescent="0.2">
      <c r="E793" s="3"/>
    </row>
    <row r="794" spans="5:5" ht="12.75" customHeight="1" x14ac:dyDescent="0.2">
      <c r="E794" s="3"/>
    </row>
    <row r="795" spans="5:5" ht="12.75" customHeight="1" x14ac:dyDescent="0.2">
      <c r="E795" s="3"/>
    </row>
    <row r="796" spans="5:5" ht="12.75" customHeight="1" x14ac:dyDescent="0.2">
      <c r="E796" s="3"/>
    </row>
    <row r="797" spans="5:5" ht="12.75" customHeight="1" x14ac:dyDescent="0.2">
      <c r="E797" s="3"/>
    </row>
    <row r="798" spans="5:5" ht="12.75" customHeight="1" x14ac:dyDescent="0.2">
      <c r="E798" s="3"/>
    </row>
    <row r="799" spans="5:5" ht="12.75" customHeight="1" x14ac:dyDescent="0.2">
      <c r="E799" s="3"/>
    </row>
    <row r="800" spans="5:5" ht="12.75" customHeight="1" x14ac:dyDescent="0.2">
      <c r="E800" s="3"/>
    </row>
    <row r="801" spans="5:5" ht="12.75" customHeight="1" x14ac:dyDescent="0.2">
      <c r="E801" s="3"/>
    </row>
    <row r="802" spans="5:5" ht="12.75" customHeight="1" x14ac:dyDescent="0.2">
      <c r="E802" s="3"/>
    </row>
    <row r="803" spans="5:5" ht="12.75" customHeight="1" x14ac:dyDescent="0.2">
      <c r="E803" s="3"/>
    </row>
    <row r="804" spans="5:5" ht="12.75" customHeight="1" x14ac:dyDescent="0.2">
      <c r="E804" s="3"/>
    </row>
    <row r="805" spans="5:5" ht="12.75" customHeight="1" x14ac:dyDescent="0.2">
      <c r="E805" s="3"/>
    </row>
    <row r="806" spans="5:5" ht="12.75" customHeight="1" x14ac:dyDescent="0.2">
      <c r="E806" s="3"/>
    </row>
    <row r="807" spans="5:5" ht="12.75" customHeight="1" x14ac:dyDescent="0.2">
      <c r="E807" s="3"/>
    </row>
    <row r="808" spans="5:5" ht="12.75" customHeight="1" x14ac:dyDescent="0.2">
      <c r="E808" s="3"/>
    </row>
    <row r="809" spans="5:5" ht="12.75" customHeight="1" x14ac:dyDescent="0.2">
      <c r="E809" s="3"/>
    </row>
    <row r="810" spans="5:5" ht="12.75" customHeight="1" x14ac:dyDescent="0.2">
      <c r="E810" s="3"/>
    </row>
    <row r="811" spans="5:5" ht="12.75" customHeight="1" x14ac:dyDescent="0.2">
      <c r="E811" s="3"/>
    </row>
    <row r="812" spans="5:5" ht="12.75" customHeight="1" x14ac:dyDescent="0.2">
      <c r="E812" s="3"/>
    </row>
    <row r="813" spans="5:5" ht="12.75" customHeight="1" x14ac:dyDescent="0.2">
      <c r="E813" s="3"/>
    </row>
    <row r="814" spans="5:5" ht="12.75" customHeight="1" x14ac:dyDescent="0.2">
      <c r="E814" s="3"/>
    </row>
    <row r="815" spans="5:5" ht="12.75" customHeight="1" x14ac:dyDescent="0.2">
      <c r="E815" s="3"/>
    </row>
    <row r="816" spans="5:5" ht="12.75" customHeight="1" x14ac:dyDescent="0.2">
      <c r="E816" s="3"/>
    </row>
    <row r="817" spans="5:5" ht="12.75" customHeight="1" x14ac:dyDescent="0.2">
      <c r="E817" s="3"/>
    </row>
    <row r="818" spans="5:5" ht="12.75" customHeight="1" x14ac:dyDescent="0.2">
      <c r="E818" s="3"/>
    </row>
    <row r="819" spans="5:5" ht="12.75" customHeight="1" x14ac:dyDescent="0.2">
      <c r="E819" s="3"/>
    </row>
    <row r="820" spans="5:5" ht="12.75" customHeight="1" x14ac:dyDescent="0.2">
      <c r="E820" s="3"/>
    </row>
    <row r="821" spans="5:5" ht="12.75" customHeight="1" x14ac:dyDescent="0.2">
      <c r="E821" s="3"/>
    </row>
    <row r="822" spans="5:5" ht="12.75" customHeight="1" x14ac:dyDescent="0.2">
      <c r="E822" s="3"/>
    </row>
    <row r="823" spans="5:5" ht="12.75" customHeight="1" x14ac:dyDescent="0.2">
      <c r="E823" s="3"/>
    </row>
    <row r="824" spans="5:5" ht="12.75" customHeight="1" x14ac:dyDescent="0.2">
      <c r="E824" s="3"/>
    </row>
    <row r="825" spans="5:5" ht="12.75" customHeight="1" x14ac:dyDescent="0.2">
      <c r="E825" s="3"/>
    </row>
    <row r="826" spans="5:5" ht="12.75" customHeight="1" x14ac:dyDescent="0.2">
      <c r="E826" s="3"/>
    </row>
    <row r="827" spans="5:5" ht="12.75" customHeight="1" x14ac:dyDescent="0.2">
      <c r="E827" s="3"/>
    </row>
    <row r="828" spans="5:5" ht="12.75" customHeight="1" x14ac:dyDescent="0.2">
      <c r="E828" s="3"/>
    </row>
    <row r="829" spans="5:5" ht="12.75" customHeight="1" x14ac:dyDescent="0.2">
      <c r="E829" s="3"/>
    </row>
    <row r="830" spans="5:5" ht="12.75" customHeight="1" x14ac:dyDescent="0.2">
      <c r="E830" s="3"/>
    </row>
    <row r="831" spans="5:5" ht="12.75" customHeight="1" x14ac:dyDescent="0.2">
      <c r="E831" s="3"/>
    </row>
    <row r="832" spans="5:5" ht="12.75" customHeight="1" x14ac:dyDescent="0.2">
      <c r="E832" s="3"/>
    </row>
    <row r="833" spans="5:5" ht="12.75" customHeight="1" x14ac:dyDescent="0.2">
      <c r="E833" s="3"/>
    </row>
    <row r="834" spans="5:5" ht="12.75" customHeight="1" x14ac:dyDescent="0.2">
      <c r="E834" s="3"/>
    </row>
    <row r="835" spans="5:5" ht="12.75" customHeight="1" x14ac:dyDescent="0.2">
      <c r="E835" s="3"/>
    </row>
    <row r="836" spans="5:5" ht="12.75" customHeight="1" x14ac:dyDescent="0.2">
      <c r="E836" s="3"/>
    </row>
    <row r="837" spans="5:5" ht="12.75" customHeight="1" x14ac:dyDescent="0.2">
      <c r="E837" s="3"/>
    </row>
    <row r="838" spans="5:5" ht="12.75" customHeight="1" x14ac:dyDescent="0.2">
      <c r="E838" s="3"/>
    </row>
    <row r="839" spans="5:5" ht="12.75" customHeight="1" x14ac:dyDescent="0.2">
      <c r="E839" s="3"/>
    </row>
    <row r="840" spans="5:5" ht="12.75" customHeight="1" x14ac:dyDescent="0.2">
      <c r="E840" s="3"/>
    </row>
    <row r="841" spans="5:5" ht="12.75" customHeight="1" x14ac:dyDescent="0.2">
      <c r="E841" s="3"/>
    </row>
    <row r="842" spans="5:5" ht="12.75" customHeight="1" x14ac:dyDescent="0.2">
      <c r="E842" s="3"/>
    </row>
    <row r="843" spans="5:5" ht="12.75" customHeight="1" x14ac:dyDescent="0.2">
      <c r="E843" s="3"/>
    </row>
    <row r="844" spans="5:5" ht="12.75" customHeight="1" x14ac:dyDescent="0.2">
      <c r="E844" s="3"/>
    </row>
    <row r="845" spans="5:5" ht="12.75" customHeight="1" x14ac:dyDescent="0.2">
      <c r="E845" s="3"/>
    </row>
    <row r="846" spans="5:5" ht="12.75" customHeight="1" x14ac:dyDescent="0.2">
      <c r="E846" s="3"/>
    </row>
    <row r="847" spans="5:5" ht="12.75" customHeight="1" x14ac:dyDescent="0.2">
      <c r="E847" s="3"/>
    </row>
    <row r="848" spans="5:5" ht="12.75" customHeight="1" x14ac:dyDescent="0.2">
      <c r="E848" s="3"/>
    </row>
    <row r="849" spans="5:5" ht="12.75" customHeight="1" x14ac:dyDescent="0.2">
      <c r="E849" s="3"/>
    </row>
    <row r="850" spans="5:5" ht="12.75" customHeight="1" x14ac:dyDescent="0.2">
      <c r="E850" s="3"/>
    </row>
    <row r="851" spans="5:5" ht="12.75" customHeight="1" x14ac:dyDescent="0.2">
      <c r="E851" s="3"/>
    </row>
    <row r="852" spans="5:5" ht="12.75" customHeight="1" x14ac:dyDescent="0.2">
      <c r="E852" s="3"/>
    </row>
    <row r="853" spans="5:5" ht="12.75" customHeight="1" x14ac:dyDescent="0.2">
      <c r="E853" s="3"/>
    </row>
    <row r="854" spans="5:5" ht="12.75" customHeight="1" x14ac:dyDescent="0.2">
      <c r="E854" s="3"/>
    </row>
    <row r="855" spans="5:5" ht="12.75" customHeight="1" x14ac:dyDescent="0.2">
      <c r="E855" s="3"/>
    </row>
    <row r="856" spans="5:5" ht="12.75" customHeight="1" x14ac:dyDescent="0.2">
      <c r="E856" s="3"/>
    </row>
    <row r="857" spans="5:5" ht="12.75" customHeight="1" x14ac:dyDescent="0.2">
      <c r="E857" s="3"/>
    </row>
    <row r="858" spans="5:5" ht="12.75" customHeight="1" x14ac:dyDescent="0.2">
      <c r="E858" s="3"/>
    </row>
    <row r="859" spans="5:5" ht="12.75" customHeight="1" x14ac:dyDescent="0.2">
      <c r="E859" s="3"/>
    </row>
    <row r="860" spans="5:5" ht="12.75" customHeight="1" x14ac:dyDescent="0.2">
      <c r="E860" s="3"/>
    </row>
    <row r="861" spans="5:5" ht="12.75" customHeight="1" x14ac:dyDescent="0.2">
      <c r="E861" s="3"/>
    </row>
    <row r="862" spans="5:5" ht="12.75" customHeight="1" x14ac:dyDescent="0.2">
      <c r="E862" s="3"/>
    </row>
    <row r="863" spans="5:5" ht="12.75" customHeight="1" x14ac:dyDescent="0.2">
      <c r="E863" s="3"/>
    </row>
    <row r="864" spans="5:5" ht="12.75" customHeight="1" x14ac:dyDescent="0.2">
      <c r="E864" s="3"/>
    </row>
    <row r="865" spans="5:5" ht="12.75" customHeight="1" x14ac:dyDescent="0.2">
      <c r="E865" s="3"/>
    </row>
    <row r="866" spans="5:5" ht="12.75" customHeight="1" x14ac:dyDescent="0.2">
      <c r="E866" s="3"/>
    </row>
    <row r="867" spans="5:5" ht="12.75" customHeight="1" x14ac:dyDescent="0.2">
      <c r="E867" s="3"/>
    </row>
    <row r="868" spans="5:5" ht="12.75" customHeight="1" x14ac:dyDescent="0.2">
      <c r="E868" s="3"/>
    </row>
    <row r="869" spans="5:5" ht="12.75" customHeight="1" x14ac:dyDescent="0.2">
      <c r="E869" s="3"/>
    </row>
    <row r="870" spans="5:5" ht="12.75" customHeight="1" x14ac:dyDescent="0.2">
      <c r="E870" s="3"/>
    </row>
    <row r="871" spans="5:5" ht="12.75" customHeight="1" x14ac:dyDescent="0.2">
      <c r="E871" s="3"/>
    </row>
    <row r="872" spans="5:5" ht="12.75" customHeight="1" x14ac:dyDescent="0.2">
      <c r="E872" s="3"/>
    </row>
    <row r="873" spans="5:5" ht="12.75" customHeight="1" x14ac:dyDescent="0.2">
      <c r="E873" s="3"/>
    </row>
    <row r="874" spans="5:5" ht="12.75" customHeight="1" x14ac:dyDescent="0.2">
      <c r="E874" s="3"/>
    </row>
    <row r="875" spans="5:5" ht="12.75" customHeight="1" x14ac:dyDescent="0.2">
      <c r="E875" s="3"/>
    </row>
    <row r="876" spans="5:5" ht="12.75" customHeight="1" x14ac:dyDescent="0.2">
      <c r="E876" s="3"/>
    </row>
    <row r="877" spans="5:5" ht="12.75" customHeight="1" x14ac:dyDescent="0.2">
      <c r="E877" s="3"/>
    </row>
    <row r="878" spans="5:5" ht="12.75" customHeight="1" x14ac:dyDescent="0.2">
      <c r="E878" s="3"/>
    </row>
    <row r="879" spans="5:5" ht="12.75" customHeight="1" x14ac:dyDescent="0.2">
      <c r="E879" s="3"/>
    </row>
    <row r="880" spans="5:5" ht="12.75" customHeight="1" x14ac:dyDescent="0.2">
      <c r="E880" s="3"/>
    </row>
    <row r="881" spans="5:5" ht="12.75" customHeight="1" x14ac:dyDescent="0.2">
      <c r="E881" s="3"/>
    </row>
    <row r="882" spans="5:5" ht="12.75" customHeight="1" x14ac:dyDescent="0.2">
      <c r="E882" s="3"/>
    </row>
    <row r="883" spans="5:5" ht="12.75" customHeight="1" x14ac:dyDescent="0.2">
      <c r="E883" s="3"/>
    </row>
    <row r="884" spans="5:5" ht="12.75" customHeight="1" x14ac:dyDescent="0.2">
      <c r="E884" s="3"/>
    </row>
    <row r="885" spans="5:5" ht="12.75" customHeight="1" x14ac:dyDescent="0.2">
      <c r="E885" s="3"/>
    </row>
    <row r="886" spans="5:5" ht="12.75" customHeight="1" x14ac:dyDescent="0.2">
      <c r="E886" s="3"/>
    </row>
    <row r="887" spans="5:5" ht="12.75" customHeight="1" x14ac:dyDescent="0.2">
      <c r="E887" s="3"/>
    </row>
    <row r="888" spans="5:5" ht="12.75" customHeight="1" x14ac:dyDescent="0.2">
      <c r="E888" s="3"/>
    </row>
    <row r="889" spans="5:5" ht="12.75" customHeight="1" x14ac:dyDescent="0.2">
      <c r="E889" s="3"/>
    </row>
    <row r="890" spans="5:5" ht="12.75" customHeight="1" x14ac:dyDescent="0.2">
      <c r="E890" s="3"/>
    </row>
    <row r="891" spans="5:5" ht="12.75" customHeight="1" x14ac:dyDescent="0.2">
      <c r="E891" s="3"/>
    </row>
    <row r="892" spans="5:5" ht="12.75" customHeight="1" x14ac:dyDescent="0.2">
      <c r="E892" s="3"/>
    </row>
    <row r="893" spans="5:5" ht="12.75" customHeight="1" x14ac:dyDescent="0.2">
      <c r="E893" s="3"/>
    </row>
    <row r="894" spans="5:5" ht="12.75" customHeight="1" x14ac:dyDescent="0.2">
      <c r="E894" s="3"/>
    </row>
    <row r="895" spans="5:5" ht="12.75" customHeight="1" x14ac:dyDescent="0.2">
      <c r="E895" s="3"/>
    </row>
    <row r="896" spans="5:5" ht="12.75" customHeight="1" x14ac:dyDescent="0.2">
      <c r="E896" s="3"/>
    </row>
    <row r="897" spans="5:5" ht="12.75" customHeight="1" x14ac:dyDescent="0.2">
      <c r="E897" s="3"/>
    </row>
    <row r="898" spans="5:5" ht="12.75" customHeight="1" x14ac:dyDescent="0.2">
      <c r="E898" s="3"/>
    </row>
    <row r="899" spans="5:5" ht="12.75" customHeight="1" x14ac:dyDescent="0.2">
      <c r="E899" s="3"/>
    </row>
    <row r="900" spans="5:5" ht="12.75" customHeight="1" x14ac:dyDescent="0.2">
      <c r="E900" s="3"/>
    </row>
    <row r="901" spans="5:5" ht="12.75" customHeight="1" x14ac:dyDescent="0.2">
      <c r="E901" s="3"/>
    </row>
    <row r="902" spans="5:5" ht="12.75" customHeight="1" x14ac:dyDescent="0.2">
      <c r="E902" s="3"/>
    </row>
    <row r="903" spans="5:5" ht="12.75" customHeight="1" x14ac:dyDescent="0.2">
      <c r="E903" s="3"/>
    </row>
    <row r="904" spans="5:5" ht="12.75" customHeight="1" x14ac:dyDescent="0.2">
      <c r="E904" s="3"/>
    </row>
    <row r="905" spans="5:5" ht="12.75" customHeight="1" x14ac:dyDescent="0.2">
      <c r="E905" s="3"/>
    </row>
    <row r="906" spans="5:5" ht="12.75" customHeight="1" x14ac:dyDescent="0.2">
      <c r="E906" s="3"/>
    </row>
    <row r="907" spans="5:5" ht="12.75" customHeight="1" x14ac:dyDescent="0.2">
      <c r="E907" s="3"/>
    </row>
    <row r="908" spans="5:5" ht="12.75" customHeight="1" x14ac:dyDescent="0.2">
      <c r="E908" s="3"/>
    </row>
    <row r="909" spans="5:5" ht="12.75" customHeight="1" x14ac:dyDescent="0.2">
      <c r="E909" s="3"/>
    </row>
    <row r="910" spans="5:5" ht="12.75" customHeight="1" x14ac:dyDescent="0.2">
      <c r="E910" s="3"/>
    </row>
    <row r="911" spans="5:5" ht="12.75" customHeight="1" x14ac:dyDescent="0.2">
      <c r="E911" s="3"/>
    </row>
    <row r="912" spans="5:5" ht="12.75" customHeight="1" x14ac:dyDescent="0.2">
      <c r="E912" s="3"/>
    </row>
    <row r="913" spans="5:5" ht="12.75" customHeight="1" x14ac:dyDescent="0.2">
      <c r="E913" s="3"/>
    </row>
    <row r="914" spans="5:5" ht="12.75" customHeight="1" x14ac:dyDescent="0.2">
      <c r="E914" s="3"/>
    </row>
    <row r="915" spans="5:5" ht="12.75" customHeight="1" x14ac:dyDescent="0.2">
      <c r="E915" s="3"/>
    </row>
    <row r="916" spans="5:5" ht="12.75" customHeight="1" x14ac:dyDescent="0.2">
      <c r="E916" s="3"/>
    </row>
    <row r="917" spans="5:5" ht="12.75" customHeight="1" x14ac:dyDescent="0.2">
      <c r="E917" s="3"/>
    </row>
    <row r="918" spans="5:5" ht="12.75" customHeight="1" x14ac:dyDescent="0.2">
      <c r="E918" s="3"/>
    </row>
    <row r="919" spans="5:5" ht="12.75" customHeight="1" x14ac:dyDescent="0.2">
      <c r="E919" s="3"/>
    </row>
    <row r="920" spans="5:5" ht="12.75" customHeight="1" x14ac:dyDescent="0.2">
      <c r="E920" s="3"/>
    </row>
    <row r="921" spans="5:5" ht="12.75" customHeight="1" x14ac:dyDescent="0.2">
      <c r="E921" s="3"/>
    </row>
    <row r="922" spans="5:5" ht="12.75" customHeight="1" x14ac:dyDescent="0.2">
      <c r="E922" s="3"/>
    </row>
    <row r="923" spans="5:5" ht="12.75" customHeight="1" x14ac:dyDescent="0.2">
      <c r="E923" s="3"/>
    </row>
    <row r="924" spans="5:5" ht="12.75" customHeight="1" x14ac:dyDescent="0.2">
      <c r="E924" s="3"/>
    </row>
    <row r="925" spans="5:5" ht="12.75" customHeight="1" x14ac:dyDescent="0.2">
      <c r="E925" s="3"/>
    </row>
    <row r="926" spans="5:5" ht="12.75" customHeight="1" x14ac:dyDescent="0.2">
      <c r="E926" s="3"/>
    </row>
    <row r="927" spans="5:5" ht="12.75" customHeight="1" x14ac:dyDescent="0.2">
      <c r="E927" s="3"/>
    </row>
    <row r="928" spans="5:5" ht="12.75" customHeight="1" x14ac:dyDescent="0.2">
      <c r="E928" s="3"/>
    </row>
    <row r="929" spans="5:5" ht="12.75" customHeight="1" x14ac:dyDescent="0.2">
      <c r="E929" s="3"/>
    </row>
    <row r="930" spans="5:5" ht="12.75" customHeight="1" x14ac:dyDescent="0.2">
      <c r="E930" s="3"/>
    </row>
    <row r="931" spans="5:5" ht="12.75" customHeight="1" x14ac:dyDescent="0.2">
      <c r="E931" s="3"/>
    </row>
    <row r="932" spans="5:5" ht="12.75" customHeight="1" x14ac:dyDescent="0.2">
      <c r="E932" s="3"/>
    </row>
    <row r="933" spans="5:5" ht="12.75" customHeight="1" x14ac:dyDescent="0.2">
      <c r="E933" s="3"/>
    </row>
    <row r="934" spans="5:5" ht="12.75" customHeight="1" x14ac:dyDescent="0.2">
      <c r="E934" s="3"/>
    </row>
    <row r="935" spans="5:5" ht="12.75" customHeight="1" x14ac:dyDescent="0.2">
      <c r="E935" s="3"/>
    </row>
    <row r="936" spans="5:5" ht="12.75" customHeight="1" x14ac:dyDescent="0.2">
      <c r="E936" s="3"/>
    </row>
    <row r="937" spans="5:5" ht="12.75" customHeight="1" x14ac:dyDescent="0.2">
      <c r="E937" s="3"/>
    </row>
    <row r="938" spans="5:5" ht="12.75" customHeight="1" x14ac:dyDescent="0.2">
      <c r="E938" s="3"/>
    </row>
    <row r="939" spans="5:5" ht="12.75" customHeight="1" x14ac:dyDescent="0.2">
      <c r="E939" s="3"/>
    </row>
    <row r="940" spans="5:5" ht="12.75" customHeight="1" x14ac:dyDescent="0.2">
      <c r="E940" s="3"/>
    </row>
    <row r="941" spans="5:5" ht="12.75" customHeight="1" x14ac:dyDescent="0.2">
      <c r="E941" s="3"/>
    </row>
    <row r="942" spans="5:5" ht="12.75" customHeight="1" x14ac:dyDescent="0.2">
      <c r="E942" s="3"/>
    </row>
    <row r="943" spans="5:5" ht="12.75" customHeight="1" x14ac:dyDescent="0.2">
      <c r="E943" s="3"/>
    </row>
    <row r="944" spans="5:5" ht="12.75" customHeight="1" x14ac:dyDescent="0.2">
      <c r="E944" s="3"/>
    </row>
    <row r="945" spans="5:5" ht="12.75" customHeight="1" x14ac:dyDescent="0.2">
      <c r="E945" s="3"/>
    </row>
    <row r="946" spans="5:5" ht="12.75" customHeight="1" x14ac:dyDescent="0.2">
      <c r="E946" s="3"/>
    </row>
    <row r="947" spans="5:5" ht="12.75" customHeight="1" x14ac:dyDescent="0.2">
      <c r="E947" s="3"/>
    </row>
    <row r="948" spans="5:5" ht="12.75" customHeight="1" x14ac:dyDescent="0.2">
      <c r="E948" s="3"/>
    </row>
    <row r="949" spans="5:5" ht="12.75" customHeight="1" x14ac:dyDescent="0.2">
      <c r="E949" s="3"/>
    </row>
    <row r="950" spans="5:5" ht="12.75" customHeight="1" x14ac:dyDescent="0.2">
      <c r="E950" s="3"/>
    </row>
    <row r="951" spans="5:5" ht="12.75" customHeight="1" x14ac:dyDescent="0.2">
      <c r="E951" s="3"/>
    </row>
    <row r="952" spans="5:5" ht="12.75" customHeight="1" x14ac:dyDescent="0.2">
      <c r="E952" s="3"/>
    </row>
    <row r="953" spans="5:5" ht="12.75" customHeight="1" x14ac:dyDescent="0.2">
      <c r="E953" s="3"/>
    </row>
    <row r="954" spans="5:5" ht="12.75" customHeight="1" x14ac:dyDescent="0.2">
      <c r="E954" s="3"/>
    </row>
    <row r="955" spans="5:5" ht="12.75" customHeight="1" x14ac:dyDescent="0.2">
      <c r="E955" s="3"/>
    </row>
    <row r="956" spans="5:5" ht="12.75" customHeight="1" x14ac:dyDescent="0.2">
      <c r="E956" s="3"/>
    </row>
    <row r="957" spans="5:5" ht="12.75" customHeight="1" x14ac:dyDescent="0.2">
      <c r="E957" s="3"/>
    </row>
    <row r="958" spans="5:5" ht="12.75" customHeight="1" x14ac:dyDescent="0.2">
      <c r="E958" s="3"/>
    </row>
    <row r="959" spans="5:5" ht="12.75" customHeight="1" x14ac:dyDescent="0.2">
      <c r="E959" s="3"/>
    </row>
    <row r="960" spans="5:5" ht="12.75" customHeight="1" x14ac:dyDescent="0.2">
      <c r="E960" s="3"/>
    </row>
    <row r="961" spans="5:5" ht="12.75" customHeight="1" x14ac:dyDescent="0.2">
      <c r="E961" s="3"/>
    </row>
    <row r="962" spans="5:5" ht="12.75" customHeight="1" x14ac:dyDescent="0.2">
      <c r="E962" s="3"/>
    </row>
    <row r="963" spans="5:5" ht="12.75" customHeight="1" x14ac:dyDescent="0.2">
      <c r="E963" s="3"/>
    </row>
    <row r="964" spans="5:5" ht="12.75" customHeight="1" x14ac:dyDescent="0.2">
      <c r="E964" s="3"/>
    </row>
    <row r="965" spans="5:5" ht="12.75" customHeight="1" x14ac:dyDescent="0.2">
      <c r="E965" s="3"/>
    </row>
    <row r="966" spans="5:5" ht="12.75" customHeight="1" x14ac:dyDescent="0.2">
      <c r="E966" s="3"/>
    </row>
    <row r="967" spans="5:5" ht="12.75" customHeight="1" x14ac:dyDescent="0.2">
      <c r="E967" s="3"/>
    </row>
    <row r="968" spans="5:5" ht="12.75" customHeight="1" x14ac:dyDescent="0.2">
      <c r="E968" s="3"/>
    </row>
    <row r="969" spans="5:5" ht="12.75" customHeight="1" x14ac:dyDescent="0.2">
      <c r="E969" s="3"/>
    </row>
    <row r="970" spans="5:5" ht="12.75" customHeight="1" x14ac:dyDescent="0.2">
      <c r="E970" s="3"/>
    </row>
    <row r="971" spans="5:5" ht="12.75" customHeight="1" x14ac:dyDescent="0.2">
      <c r="E971" s="3"/>
    </row>
    <row r="972" spans="5:5" ht="12.75" customHeight="1" x14ac:dyDescent="0.2">
      <c r="E972" s="3"/>
    </row>
    <row r="973" spans="5:5" ht="12.75" customHeight="1" x14ac:dyDescent="0.2">
      <c r="E973" s="3"/>
    </row>
    <row r="974" spans="5:5" ht="12.75" customHeight="1" x14ac:dyDescent="0.2">
      <c r="E974" s="3"/>
    </row>
    <row r="975" spans="5:5" ht="12.75" customHeight="1" x14ac:dyDescent="0.2">
      <c r="E975" s="3"/>
    </row>
    <row r="976" spans="5:5" ht="12.75" customHeight="1" x14ac:dyDescent="0.2">
      <c r="E976" s="3"/>
    </row>
    <row r="977" spans="5:5" ht="12.75" customHeight="1" x14ac:dyDescent="0.2">
      <c r="E977" s="3"/>
    </row>
    <row r="978" spans="5:5" ht="12.75" customHeight="1" x14ac:dyDescent="0.2">
      <c r="E978" s="3"/>
    </row>
    <row r="979" spans="5:5" ht="12.75" customHeight="1" x14ac:dyDescent="0.2">
      <c r="E979" s="3"/>
    </row>
    <row r="980" spans="5:5" ht="12.75" customHeight="1" x14ac:dyDescent="0.2">
      <c r="E980" s="3"/>
    </row>
    <row r="981" spans="5:5" ht="12.75" customHeight="1" x14ac:dyDescent="0.2">
      <c r="E981" s="3"/>
    </row>
    <row r="982" spans="5:5" ht="12.75" customHeight="1" x14ac:dyDescent="0.2">
      <c r="E982" s="3"/>
    </row>
    <row r="983" spans="5:5" ht="12.75" customHeight="1" x14ac:dyDescent="0.2">
      <c r="E983" s="3"/>
    </row>
    <row r="984" spans="5:5" ht="12.75" customHeight="1" x14ac:dyDescent="0.2">
      <c r="E984" s="3"/>
    </row>
    <row r="985" spans="5:5" ht="12.75" customHeight="1" x14ac:dyDescent="0.2">
      <c r="E985" s="3"/>
    </row>
    <row r="986" spans="5:5" ht="12.75" customHeight="1" x14ac:dyDescent="0.2">
      <c r="E986" s="3"/>
    </row>
    <row r="987" spans="5:5" ht="12.75" customHeight="1" x14ac:dyDescent="0.2">
      <c r="E987" s="3"/>
    </row>
    <row r="988" spans="5:5" ht="12.75" customHeight="1" x14ac:dyDescent="0.2">
      <c r="E988" s="3"/>
    </row>
    <row r="989" spans="5:5" ht="12.75" customHeight="1" x14ac:dyDescent="0.2">
      <c r="E989" s="3"/>
    </row>
    <row r="990" spans="5:5" ht="12.75" customHeight="1" x14ac:dyDescent="0.2">
      <c r="E990" s="3"/>
    </row>
    <row r="991" spans="5:5" ht="12.75" customHeight="1" x14ac:dyDescent="0.2">
      <c r="E991" s="3"/>
    </row>
    <row r="992" spans="5:5" ht="12.75" customHeight="1" x14ac:dyDescent="0.2">
      <c r="E992" s="3"/>
    </row>
    <row r="993" spans="5:5" ht="12.75" customHeight="1" x14ac:dyDescent="0.2">
      <c r="E993" s="3"/>
    </row>
    <row r="994" spans="5:5" ht="12.75" customHeight="1" x14ac:dyDescent="0.2">
      <c r="E994" s="3"/>
    </row>
    <row r="995" spans="5:5" ht="12.75" customHeight="1" x14ac:dyDescent="0.2">
      <c r="E995" s="3"/>
    </row>
    <row r="996" spans="5:5" ht="12.75" customHeight="1" x14ac:dyDescent="0.2">
      <c r="E996" s="3"/>
    </row>
    <row r="997" spans="5:5" ht="12.75" customHeight="1" x14ac:dyDescent="0.2">
      <c r="E997" s="3"/>
    </row>
    <row r="998" spans="5:5" ht="12.75" customHeight="1" x14ac:dyDescent="0.2">
      <c r="E998" s="3"/>
    </row>
    <row r="999" spans="5:5" ht="12.75" customHeight="1" x14ac:dyDescent="0.2">
      <c r="E999" s="3"/>
    </row>
    <row r="1000" spans="5:5" ht="12.75" customHeight="1" x14ac:dyDescent="0.2">
      <c r="E1000" s="3"/>
    </row>
  </sheetData>
  <mergeCells count="6">
    <mergeCell ref="E28:I28"/>
    <mergeCell ref="E43:I43"/>
    <mergeCell ref="D2:H2"/>
    <mergeCell ref="A5:J5"/>
    <mergeCell ref="A13:J13"/>
    <mergeCell ref="E17:I17"/>
  </mergeCells>
  <hyperlinks>
    <hyperlink ref="C8" r:id="rId1" xr:uid="{00000000-0004-0000-0000-000000000000}"/>
    <hyperlink ref="C9" r:id="rId2" xr:uid="{00000000-0004-0000-0000-000001000000}"/>
    <hyperlink ref="C10" r:id="rId3" xr:uid="{00000000-0004-0000-0000-000002000000}"/>
    <hyperlink ref="C21" r:id="rId4" xr:uid="{78B8761E-F0C2-446E-8BD5-D31224C03E82}"/>
    <hyperlink ref="C22" r:id="rId5" xr:uid="{C5DD2CC9-6281-43E9-8676-2BFCEE17ED4B}"/>
    <hyperlink ref="C23" r:id="rId6" xr:uid="{298FFD22-6A65-4AD9-8E79-D497E0873405}"/>
    <hyperlink ref="C36" r:id="rId7" xr:uid="{A8AC1A61-3FC3-49B8-8C8C-617626E3483A}"/>
    <hyperlink ref="C37" r:id="rId8" xr:uid="{09874101-7EB4-4EB4-8FA7-254B5C862EA7}"/>
    <hyperlink ref="C38" r:id="rId9" xr:uid="{36E7D712-2CD1-4859-82A5-B5E277556060}"/>
    <hyperlink ref="C47" r:id="rId10" xr:uid="{4A081113-EA27-4617-8EFD-0723A3C26837}"/>
    <hyperlink ref="C48" r:id="rId11" xr:uid="{EDA79C88-196A-4C4E-935F-10602C5C1924}"/>
    <hyperlink ref="C49" r:id="rId12" xr:uid="{6AE7D627-3AF5-4C9D-A07D-5CAB20BB3D59}"/>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5703125" defaultRowHeight="15" customHeight="1" x14ac:dyDescent="0.2"/>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x14ac:dyDescent="0.2">
      <c r="A1" s="2"/>
      <c r="B1" s="2"/>
      <c r="C1" s="2"/>
      <c r="D1" s="2"/>
      <c r="E1" s="2"/>
      <c r="F1" s="2"/>
      <c r="G1" s="2"/>
      <c r="H1" s="2"/>
      <c r="I1" s="2"/>
      <c r="J1" s="2"/>
      <c r="K1" s="2"/>
      <c r="L1" s="2"/>
      <c r="M1" s="2"/>
      <c r="N1" s="2"/>
      <c r="O1" s="2"/>
      <c r="P1" s="2"/>
      <c r="Q1" s="2"/>
      <c r="R1" s="2"/>
      <c r="S1" s="2"/>
      <c r="T1" s="2"/>
      <c r="U1" s="2"/>
      <c r="V1" s="2"/>
      <c r="W1" s="2"/>
      <c r="X1" s="2"/>
      <c r="Y1" s="2"/>
      <c r="Z1" s="2"/>
    </row>
    <row r="2" spans="1:26" ht="27.75" customHeight="1" x14ac:dyDescent="0.2">
      <c r="A2" s="2"/>
      <c r="B2" s="2"/>
      <c r="C2" s="2"/>
      <c r="D2" s="89" t="s">
        <v>0</v>
      </c>
      <c r="E2" s="90"/>
      <c r="F2" s="90"/>
      <c r="G2" s="90"/>
      <c r="H2" s="90"/>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75.75" customHeight="1" x14ac:dyDescent="0.2">
      <c r="A7" s="4" t="s">
        <v>2</v>
      </c>
      <c r="B7" s="5" t="s">
        <v>68</v>
      </c>
      <c r="C7" s="5" t="s">
        <v>69</v>
      </c>
      <c r="D7" s="10" t="s">
        <v>70</v>
      </c>
      <c r="E7" s="5" t="s">
        <v>71</v>
      </c>
      <c r="F7" s="8" t="s">
        <v>72</v>
      </c>
      <c r="G7" s="9" t="s">
        <v>73</v>
      </c>
      <c r="H7" s="5" t="s">
        <v>9</v>
      </c>
      <c r="I7" s="5" t="s">
        <v>74</v>
      </c>
      <c r="J7" s="5" t="s">
        <v>75</v>
      </c>
      <c r="K7" s="11"/>
      <c r="L7" s="11"/>
      <c r="M7" s="11"/>
      <c r="N7" s="11"/>
      <c r="O7" s="11"/>
      <c r="P7" s="11"/>
      <c r="Q7" s="11"/>
      <c r="R7" s="11"/>
      <c r="S7" s="11"/>
      <c r="T7" s="11"/>
      <c r="U7" s="11"/>
      <c r="V7" s="11"/>
      <c r="W7" s="11"/>
      <c r="X7" s="11"/>
      <c r="Y7" s="11"/>
      <c r="Z7" s="11"/>
    </row>
    <row r="8" spans="1:26" ht="50.25" customHeight="1" x14ac:dyDescent="0.2">
      <c r="A8" s="12" t="s">
        <v>12</v>
      </c>
      <c r="B8" s="40" t="s">
        <v>49</v>
      </c>
      <c r="C8" s="55" t="s">
        <v>76</v>
      </c>
      <c r="D8" s="56" t="s">
        <v>62</v>
      </c>
      <c r="E8" s="57">
        <v>229900</v>
      </c>
      <c r="F8" s="39">
        <f>E8*19%</f>
        <v>43681</v>
      </c>
      <c r="G8" s="39">
        <f>E8+F8</f>
        <v>273581</v>
      </c>
      <c r="H8" s="39">
        <f>G8</f>
        <v>273581</v>
      </c>
      <c r="I8" s="40" t="s">
        <v>16</v>
      </c>
      <c r="J8" s="40" t="s">
        <v>63</v>
      </c>
      <c r="K8" s="2"/>
      <c r="L8" s="2"/>
      <c r="M8" s="2"/>
      <c r="N8" s="2"/>
      <c r="O8" s="2"/>
      <c r="P8" s="2"/>
      <c r="Q8" s="2"/>
      <c r="R8" s="2"/>
      <c r="S8" s="2"/>
      <c r="T8" s="2"/>
      <c r="U8" s="2"/>
      <c r="V8" s="2"/>
      <c r="W8" s="2"/>
      <c r="X8" s="2"/>
      <c r="Y8" s="2"/>
      <c r="Z8" s="2"/>
    </row>
    <row r="9" spans="1:26" ht="50.25" customHeight="1" x14ac:dyDescent="0.2">
      <c r="A9" s="12" t="s">
        <v>18</v>
      </c>
      <c r="B9" s="52" t="s">
        <v>44</v>
      </c>
      <c r="C9" s="58" t="s">
        <v>53</v>
      </c>
      <c r="D9" s="59" t="s">
        <v>54</v>
      </c>
      <c r="E9" s="39">
        <v>79000</v>
      </c>
      <c r="F9" s="38">
        <v>15010</v>
      </c>
      <c r="G9" s="39">
        <f t="shared" ref="G9:G10" si="0">E9</f>
        <v>79000</v>
      </c>
      <c r="H9" s="39">
        <f>E9</f>
        <v>79000</v>
      </c>
      <c r="I9" s="40" t="s">
        <v>16</v>
      </c>
      <c r="J9" s="40" t="s">
        <v>64</v>
      </c>
      <c r="K9" s="2"/>
      <c r="L9" s="2"/>
      <c r="M9" s="2"/>
      <c r="N9" s="2"/>
      <c r="O9" s="2"/>
      <c r="P9" s="2"/>
      <c r="Q9" s="2"/>
      <c r="R9" s="2"/>
      <c r="S9" s="2"/>
      <c r="T9" s="2"/>
      <c r="U9" s="2"/>
      <c r="V9" s="2"/>
      <c r="W9" s="2"/>
      <c r="X9" s="2"/>
      <c r="Y9" s="2"/>
      <c r="Z9" s="2"/>
    </row>
    <row r="10" spans="1:26" ht="50.25" customHeight="1" x14ac:dyDescent="0.2">
      <c r="A10" s="42" t="s">
        <v>23</v>
      </c>
      <c r="B10" s="43" t="s">
        <v>65</v>
      </c>
      <c r="C10" s="60" t="s">
        <v>66</v>
      </c>
      <c r="D10" s="43" t="s">
        <v>67</v>
      </c>
      <c r="E10" s="46">
        <v>65518</v>
      </c>
      <c r="F10" s="46">
        <v>0</v>
      </c>
      <c r="G10" s="46">
        <f t="shared" si="0"/>
        <v>65518</v>
      </c>
      <c r="H10" s="46">
        <f>G10</f>
        <v>65518</v>
      </c>
      <c r="I10" s="43" t="s">
        <v>16</v>
      </c>
      <c r="J10" s="43"/>
      <c r="K10" s="2"/>
      <c r="L10" s="2"/>
      <c r="M10" s="2"/>
      <c r="N10" s="2"/>
      <c r="O10" s="2"/>
      <c r="P10" s="2"/>
      <c r="Q10" s="2"/>
      <c r="R10" s="2"/>
      <c r="S10" s="2"/>
      <c r="T10" s="2"/>
      <c r="U10" s="2"/>
      <c r="V10" s="2"/>
      <c r="W10" s="2"/>
      <c r="X10" s="2"/>
      <c r="Y10" s="2"/>
      <c r="Z10" s="2"/>
    </row>
    <row r="11" spans="1:26" ht="15" hidden="1" customHeight="1" x14ac:dyDescent="0.2">
      <c r="A11" s="30"/>
      <c r="B11" s="31"/>
      <c r="C11" s="31"/>
      <c r="D11" s="31"/>
      <c r="E11" s="31"/>
      <c r="F11" s="31"/>
      <c r="G11" s="31"/>
      <c r="H11" s="31"/>
      <c r="I11" s="31"/>
      <c r="J11" s="31"/>
      <c r="K11" s="2"/>
      <c r="L11" s="2"/>
      <c r="M11" s="2"/>
      <c r="N11" s="2"/>
      <c r="O11" s="2"/>
      <c r="P11" s="2"/>
      <c r="Q11" s="2"/>
      <c r="R11" s="2"/>
      <c r="S11" s="2"/>
      <c r="T11" s="2"/>
      <c r="U11" s="2"/>
      <c r="V11" s="2"/>
      <c r="W11" s="2"/>
      <c r="X11" s="2"/>
      <c r="Y11" s="2"/>
      <c r="Z11" s="2"/>
    </row>
    <row r="12" spans="1:26" ht="12.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8.75" customHeight="1" x14ac:dyDescent="0.2">
      <c r="A13" s="94" t="s">
        <v>77</v>
      </c>
      <c r="B13" s="92"/>
      <c r="C13" s="92"/>
      <c r="D13" s="92"/>
      <c r="E13" s="92"/>
      <c r="F13" s="92"/>
      <c r="G13" s="92"/>
      <c r="H13" s="92"/>
      <c r="I13" s="92"/>
      <c r="J13" s="93"/>
      <c r="K13" s="2"/>
      <c r="L13" s="2"/>
      <c r="M13" s="2"/>
      <c r="N13" s="2"/>
      <c r="O13" s="2"/>
      <c r="P13" s="2"/>
      <c r="Q13" s="2"/>
      <c r="R13" s="2"/>
      <c r="S13" s="2"/>
      <c r="T13" s="2"/>
      <c r="U13" s="2"/>
      <c r="V13" s="2"/>
      <c r="W13" s="2"/>
      <c r="X13" s="2"/>
      <c r="Y13" s="2"/>
      <c r="Z13" s="2"/>
    </row>
    <row r="14" spans="1:26" ht="12.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75" customHeight="1" x14ac:dyDescent="0.2">
      <c r="A15" s="94" t="s">
        <v>78</v>
      </c>
      <c r="B15" s="92"/>
      <c r="C15" s="92"/>
      <c r="D15" s="92"/>
      <c r="E15" s="92"/>
      <c r="F15" s="92"/>
      <c r="G15" s="92"/>
      <c r="H15" s="92"/>
      <c r="I15" s="92"/>
      <c r="J15" s="93"/>
      <c r="K15" s="2"/>
      <c r="L15" s="2"/>
      <c r="M15" s="2"/>
      <c r="N15" s="2"/>
      <c r="O15" s="2"/>
      <c r="P15" s="2"/>
      <c r="Q15" s="2"/>
      <c r="R15" s="2"/>
      <c r="S15" s="2"/>
      <c r="T15" s="2"/>
      <c r="U15" s="2"/>
      <c r="V15" s="2"/>
      <c r="W15" s="2"/>
      <c r="X15" s="2"/>
      <c r="Y15" s="2"/>
      <c r="Z15" s="2"/>
    </row>
    <row r="16" spans="1:26" ht="12.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4:7" ht="12.75" customHeight="1" x14ac:dyDescent="0.2">
      <c r="D17" s="2"/>
      <c r="E17" s="2"/>
      <c r="F17" s="2"/>
      <c r="G17" s="2"/>
    </row>
    <row r="18" spans="4:7" ht="12.75" customHeight="1" x14ac:dyDescent="0.2">
      <c r="D18" s="2"/>
      <c r="E18" s="2"/>
      <c r="F18" s="2"/>
      <c r="G18" s="2"/>
    </row>
    <row r="19" spans="4:7" ht="12.75" customHeight="1" x14ac:dyDescent="0.2">
      <c r="D19" s="2"/>
      <c r="E19" s="2"/>
      <c r="F19" s="2"/>
      <c r="G19" s="2"/>
    </row>
    <row r="20" spans="4:7" ht="12.75" customHeight="1" x14ac:dyDescent="0.2">
      <c r="D20" s="2"/>
      <c r="E20" s="2"/>
      <c r="F20" s="2"/>
      <c r="G20" s="2"/>
    </row>
    <row r="21" spans="4:7" ht="12.75" customHeight="1" x14ac:dyDescent="0.2">
      <c r="D21" s="2"/>
      <c r="E21" s="2"/>
      <c r="F21" s="2"/>
      <c r="G21" s="2"/>
    </row>
    <row r="22" spans="4:7" ht="12.75" customHeight="1" x14ac:dyDescent="0.2">
      <c r="D22" s="2"/>
      <c r="E22" s="2"/>
      <c r="F22" s="2"/>
      <c r="G22" s="2"/>
    </row>
    <row r="23" spans="4:7" ht="12.75" customHeight="1" x14ac:dyDescent="0.2">
      <c r="D23" s="2"/>
      <c r="E23" s="2"/>
      <c r="F23" s="2"/>
      <c r="G23" s="2"/>
    </row>
    <row r="24" spans="4:7" ht="12.75" customHeight="1" x14ac:dyDescent="0.2">
      <c r="D24" s="2"/>
      <c r="E24" s="2"/>
      <c r="F24" s="2"/>
      <c r="G24" s="2"/>
    </row>
    <row r="25" spans="4:7" ht="12.75" customHeight="1" x14ac:dyDescent="0.2">
      <c r="D25" s="2"/>
      <c r="E25" s="2"/>
      <c r="F25" s="2"/>
      <c r="G25" s="2"/>
    </row>
    <row r="26" spans="4:7" ht="12.75" customHeight="1" x14ac:dyDescent="0.2">
      <c r="D26" s="33"/>
      <c r="E26" s="33"/>
      <c r="F26" s="1"/>
      <c r="G26" s="1"/>
    </row>
    <row r="27" spans="4:7" ht="12.75" customHeight="1" x14ac:dyDescent="0.2">
      <c r="D27" s="2"/>
      <c r="E27" s="2"/>
      <c r="F27" s="2"/>
      <c r="G27" s="2"/>
    </row>
    <row r="28" spans="4:7" ht="12.75" customHeight="1" x14ac:dyDescent="0.2">
      <c r="D28" s="2"/>
      <c r="E28" s="2"/>
      <c r="F28" s="2"/>
      <c r="G28" s="2"/>
    </row>
    <row r="29" spans="4:7" ht="12.75" customHeight="1" x14ac:dyDescent="0.2">
      <c r="D29" s="2"/>
      <c r="E29" s="2"/>
      <c r="F29" s="2"/>
      <c r="G29" s="2"/>
    </row>
    <row r="30" spans="4:7" ht="12.75" customHeight="1" x14ac:dyDescent="0.2">
      <c r="D30" s="2"/>
      <c r="E30" s="2"/>
      <c r="F30" s="2"/>
      <c r="G30" s="2"/>
    </row>
    <row r="31" spans="4:7" ht="12.75" customHeight="1" x14ac:dyDescent="0.2">
      <c r="D31" s="2"/>
      <c r="E31" s="2"/>
      <c r="F31" s="2"/>
      <c r="G31" s="2"/>
    </row>
    <row r="32" spans="4:7" ht="12.75" customHeight="1" x14ac:dyDescent="0.2">
      <c r="D32" s="2"/>
      <c r="E32" s="2"/>
      <c r="F32" s="2"/>
      <c r="G32" s="2"/>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hyperlinks>
    <hyperlink ref="C8" r:id="rId1" xr:uid="{00000000-0004-0000-0400-000000000000}"/>
    <hyperlink ref="C9" r:id="rId2" xr:uid="{00000000-0004-0000-0400-000001000000}"/>
    <hyperlink ref="C10" r:id="rId3" xr:uid="{00000000-0004-0000-0400-000002000000}"/>
  </hyperlinks>
  <pageMargins left="0.7" right="0.7" top="0.75" bottom="0.75" header="0" footer="0"/>
  <pageSetup orientation="landscape"/>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7" workbookViewId="0">
      <selection activeCell="C19" sqref="C19"/>
    </sheetView>
  </sheetViews>
  <sheetFormatPr baseColWidth="10" defaultColWidth="12.5703125" defaultRowHeight="15" customHeight="1" x14ac:dyDescent="0.2"/>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x14ac:dyDescent="0.2">
      <c r="A1" s="2"/>
      <c r="B1" s="2"/>
      <c r="C1" s="2"/>
      <c r="D1" s="2"/>
      <c r="E1" s="2"/>
      <c r="F1" s="2"/>
      <c r="G1" s="2"/>
      <c r="H1" s="2"/>
      <c r="I1" s="2"/>
      <c r="J1" s="2"/>
      <c r="K1" s="2"/>
      <c r="L1" s="2"/>
      <c r="M1" s="2"/>
      <c r="N1" s="2"/>
      <c r="O1" s="2"/>
      <c r="P1" s="2"/>
      <c r="Q1" s="2"/>
      <c r="R1" s="2"/>
      <c r="S1" s="2"/>
      <c r="T1" s="2"/>
      <c r="U1" s="2"/>
      <c r="V1" s="2"/>
      <c r="W1" s="2"/>
      <c r="X1" s="2"/>
      <c r="Y1" s="2"/>
      <c r="Z1" s="2"/>
    </row>
    <row r="2" spans="1:26" ht="27.75" customHeight="1" x14ac:dyDescent="0.2">
      <c r="A2" s="2"/>
      <c r="B2" s="2"/>
      <c r="C2" s="2"/>
      <c r="D2" s="89" t="s">
        <v>0</v>
      </c>
      <c r="E2" s="90"/>
      <c r="F2" s="90"/>
      <c r="G2" s="90"/>
      <c r="H2" s="90"/>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75.75" customHeight="1" x14ac:dyDescent="0.2">
      <c r="A7" s="4" t="s">
        <v>2</v>
      </c>
      <c r="B7" s="5" t="s">
        <v>79</v>
      </c>
      <c r="C7" s="5" t="s">
        <v>80</v>
      </c>
      <c r="D7" s="5" t="s">
        <v>81</v>
      </c>
      <c r="E7" s="5" t="s">
        <v>82</v>
      </c>
      <c r="F7" s="8" t="s">
        <v>83</v>
      </c>
      <c r="G7" s="9" t="s">
        <v>84</v>
      </c>
      <c r="H7" s="5" t="s">
        <v>9</v>
      </c>
      <c r="I7" s="5" t="s">
        <v>85</v>
      </c>
      <c r="J7" s="5" t="s">
        <v>86</v>
      </c>
      <c r="K7" s="11"/>
      <c r="L7" s="11"/>
      <c r="M7" s="11"/>
      <c r="N7" s="11"/>
      <c r="O7" s="11"/>
      <c r="P7" s="11"/>
      <c r="Q7" s="11"/>
      <c r="R7" s="11"/>
      <c r="S7" s="11"/>
      <c r="T7" s="11"/>
      <c r="U7" s="11"/>
      <c r="V7" s="11"/>
      <c r="W7" s="11"/>
      <c r="X7" s="11"/>
      <c r="Y7" s="11"/>
      <c r="Z7" s="11"/>
    </row>
    <row r="8" spans="1:26" ht="50.25" customHeight="1" x14ac:dyDescent="0.2">
      <c r="A8" s="42" t="s">
        <v>12</v>
      </c>
      <c r="B8" s="43" t="s">
        <v>44</v>
      </c>
      <c r="C8" s="64" t="s">
        <v>87</v>
      </c>
      <c r="D8" s="65" t="s">
        <v>88</v>
      </c>
      <c r="E8" s="46">
        <v>1899900</v>
      </c>
      <c r="F8" s="46">
        <f>E8*19%</f>
        <v>360981</v>
      </c>
      <c r="G8" s="46">
        <f>E8+F8</f>
        <v>2260881</v>
      </c>
      <c r="H8" s="46">
        <f>G8</f>
        <v>2260881</v>
      </c>
      <c r="I8" s="43" t="s">
        <v>16</v>
      </c>
      <c r="J8" s="43"/>
      <c r="K8" s="2"/>
      <c r="L8" s="2"/>
      <c r="M8" s="2"/>
      <c r="N8" s="2"/>
      <c r="O8" s="2"/>
      <c r="P8" s="2"/>
      <c r="Q8" s="2"/>
      <c r="R8" s="2"/>
      <c r="S8" s="2"/>
      <c r="T8" s="2"/>
      <c r="U8" s="2"/>
      <c r="V8" s="2"/>
      <c r="W8" s="2"/>
      <c r="X8" s="2"/>
      <c r="Y8" s="2"/>
      <c r="Z8" s="2"/>
    </row>
    <row r="9" spans="1:26" ht="50.25" customHeight="1" x14ac:dyDescent="0.2">
      <c r="A9" s="12" t="s">
        <v>18</v>
      </c>
      <c r="B9" s="52" t="s">
        <v>89</v>
      </c>
      <c r="C9" s="66" t="s">
        <v>90</v>
      </c>
      <c r="D9" s="40" t="s">
        <v>91</v>
      </c>
      <c r="E9" s="38">
        <v>2489000</v>
      </c>
      <c r="F9" s="39">
        <f t="shared" ref="F9:H9" si="0">E9</f>
        <v>2489000</v>
      </c>
      <c r="G9" s="39">
        <f t="shared" si="0"/>
        <v>2489000</v>
      </c>
      <c r="H9" s="39">
        <f t="shared" si="0"/>
        <v>2489000</v>
      </c>
      <c r="I9" s="40" t="s">
        <v>16</v>
      </c>
      <c r="J9" s="40" t="s">
        <v>92</v>
      </c>
      <c r="K9" s="2"/>
      <c r="L9" s="2"/>
      <c r="M9" s="2"/>
      <c r="N9" s="2"/>
      <c r="O9" s="2"/>
      <c r="P9" s="2"/>
      <c r="Q9" s="2"/>
      <c r="R9" s="2"/>
      <c r="S9" s="2"/>
      <c r="T9" s="2"/>
      <c r="U9" s="2"/>
      <c r="V9" s="2"/>
      <c r="W9" s="2"/>
      <c r="X9" s="2"/>
      <c r="Y9" s="2"/>
      <c r="Z9" s="2"/>
    </row>
    <row r="10" spans="1:26" ht="50.25" customHeight="1" x14ac:dyDescent="0.2">
      <c r="A10" s="12" t="s">
        <v>23</v>
      </c>
      <c r="B10" s="40" t="s">
        <v>93</v>
      </c>
      <c r="C10" s="67" t="s">
        <v>94</v>
      </c>
      <c r="D10" s="40" t="s">
        <v>95</v>
      </c>
      <c r="E10" s="38">
        <v>3599000</v>
      </c>
      <c r="F10" s="39">
        <f>E10*19%</f>
        <v>683810</v>
      </c>
      <c r="G10" s="39">
        <f>E10+F10</f>
        <v>4282810</v>
      </c>
      <c r="H10" s="39">
        <f>G10</f>
        <v>4282810</v>
      </c>
      <c r="I10" s="40" t="s">
        <v>16</v>
      </c>
      <c r="J10" s="40" t="s">
        <v>96</v>
      </c>
      <c r="K10" s="2"/>
      <c r="L10" s="2"/>
      <c r="M10" s="2"/>
      <c r="N10" s="2"/>
      <c r="O10" s="2"/>
      <c r="P10" s="2"/>
      <c r="Q10" s="2"/>
      <c r="R10" s="2"/>
      <c r="S10" s="2"/>
      <c r="T10" s="2"/>
      <c r="U10" s="2"/>
      <c r="V10" s="2"/>
      <c r="W10" s="2"/>
      <c r="X10" s="2"/>
      <c r="Y10" s="2"/>
      <c r="Z10" s="2"/>
    </row>
    <row r="11" spans="1:26" ht="15" hidden="1" customHeight="1" x14ac:dyDescent="0.2">
      <c r="A11" s="30"/>
      <c r="B11" s="31"/>
      <c r="C11" s="31"/>
      <c r="D11" s="31"/>
      <c r="E11" s="31"/>
      <c r="F11" s="31"/>
      <c r="G11" s="31"/>
      <c r="H11" s="31"/>
      <c r="I11" s="31"/>
      <c r="J11" s="31"/>
      <c r="K11" s="2"/>
      <c r="L11" s="2"/>
      <c r="M11" s="2"/>
      <c r="N11" s="2"/>
      <c r="O11" s="2"/>
      <c r="P11" s="2"/>
      <c r="Q11" s="2"/>
      <c r="R11" s="2"/>
      <c r="S11" s="2"/>
      <c r="T11" s="2"/>
      <c r="U11" s="2"/>
      <c r="V11" s="2"/>
      <c r="W11" s="2"/>
      <c r="X11" s="2"/>
      <c r="Y11" s="2"/>
      <c r="Z11" s="2"/>
    </row>
    <row r="12" spans="1:26" ht="12.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8.75" customHeight="1" x14ac:dyDescent="0.2">
      <c r="A13" s="94" t="s">
        <v>97</v>
      </c>
      <c r="B13" s="92"/>
      <c r="C13" s="92"/>
      <c r="D13" s="92"/>
      <c r="E13" s="92"/>
      <c r="F13" s="92"/>
      <c r="G13" s="92"/>
      <c r="H13" s="92"/>
      <c r="I13" s="92"/>
      <c r="J13" s="93"/>
      <c r="K13" s="2"/>
      <c r="L13" s="2"/>
      <c r="M13" s="2"/>
      <c r="N13" s="2"/>
      <c r="O13" s="2"/>
      <c r="P13" s="2"/>
      <c r="Q13" s="2"/>
      <c r="R13" s="2"/>
      <c r="S13" s="2"/>
      <c r="T13" s="2"/>
      <c r="U13" s="2"/>
      <c r="V13" s="2"/>
      <c r="W13" s="2"/>
      <c r="X13" s="2"/>
      <c r="Y13" s="2"/>
      <c r="Z13" s="2"/>
    </row>
    <row r="14" spans="1:26" ht="12.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s="106" customFormat="1" ht="14.25" customHeight="1" x14ac:dyDescent="0.2">
      <c r="A15" s="107"/>
      <c r="B15" s="108"/>
      <c r="C15" s="108"/>
      <c r="D15" s="108"/>
      <c r="E15" s="108"/>
      <c r="F15" s="108"/>
      <c r="G15" s="108"/>
      <c r="H15" s="108"/>
      <c r="I15" s="108"/>
      <c r="J15" s="108"/>
      <c r="K15" s="105"/>
      <c r="L15" s="105"/>
      <c r="M15" s="105"/>
      <c r="N15" s="105"/>
      <c r="O15" s="105"/>
      <c r="P15" s="105"/>
      <c r="Q15" s="105"/>
      <c r="R15" s="105"/>
      <c r="S15" s="105"/>
      <c r="T15" s="105"/>
      <c r="U15" s="105"/>
      <c r="V15" s="105"/>
      <c r="W15" s="105"/>
      <c r="X15" s="105"/>
      <c r="Y15" s="105"/>
      <c r="Z15" s="105"/>
    </row>
    <row r="16" spans="1:26" ht="12.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10" ht="12.75" customHeight="1" x14ac:dyDescent="0.2">
      <c r="D17" s="2"/>
      <c r="E17" s="2"/>
      <c r="F17" s="2"/>
      <c r="G17" s="2"/>
    </row>
    <row r="18" spans="1:10" ht="12.75" customHeight="1" x14ac:dyDescent="0.2">
      <c r="D18" s="2"/>
      <c r="E18" s="2"/>
      <c r="F18" s="2"/>
      <c r="G18" s="2"/>
    </row>
    <row r="19" spans="1:10" ht="12.75" customHeight="1" x14ac:dyDescent="0.2">
      <c r="D19" s="97" t="s">
        <v>175</v>
      </c>
      <c r="E19" s="90"/>
      <c r="F19" s="90"/>
      <c r="G19" s="90"/>
      <c r="H19" s="90"/>
    </row>
    <row r="20" spans="1:10" ht="12.75" customHeight="1" x14ac:dyDescent="0.2">
      <c r="D20" s="2"/>
      <c r="E20" s="2"/>
      <c r="F20" s="2"/>
      <c r="G20" s="2"/>
    </row>
    <row r="21" spans="1:10" ht="6" customHeight="1" x14ac:dyDescent="0.2">
      <c r="D21" s="2"/>
      <c r="E21" s="2"/>
      <c r="F21" s="2"/>
      <c r="G21" s="2"/>
    </row>
    <row r="22" spans="1:10" ht="71.25" customHeight="1" x14ac:dyDescent="0.2">
      <c r="A22" s="4" t="s">
        <v>2</v>
      </c>
      <c r="B22" s="6" t="s">
        <v>29</v>
      </c>
      <c r="C22" s="6" t="s">
        <v>30</v>
      </c>
      <c r="D22" s="10" t="s">
        <v>31</v>
      </c>
      <c r="E22" s="6" t="s">
        <v>32</v>
      </c>
      <c r="F22" s="8" t="s">
        <v>33</v>
      </c>
      <c r="G22" s="9" t="s">
        <v>60</v>
      </c>
      <c r="H22" s="6" t="s">
        <v>9</v>
      </c>
      <c r="I22" s="6" t="s">
        <v>35</v>
      </c>
      <c r="J22" s="6" t="s">
        <v>36</v>
      </c>
    </row>
    <row r="23" spans="1:10" ht="74.25" customHeight="1" x14ac:dyDescent="0.2">
      <c r="A23" s="12" t="s">
        <v>12</v>
      </c>
      <c r="B23" s="72" t="s">
        <v>49</v>
      </c>
      <c r="C23" s="55" t="s">
        <v>61</v>
      </c>
      <c r="D23" s="56" t="s">
        <v>62</v>
      </c>
      <c r="E23" s="63">
        <v>229900</v>
      </c>
      <c r="F23" s="39">
        <f>E23*19%</f>
        <v>43681</v>
      </c>
      <c r="G23" s="39">
        <f>E23+F23</f>
        <v>273581</v>
      </c>
      <c r="H23" s="39">
        <f>G23</f>
        <v>273581</v>
      </c>
      <c r="I23" s="72" t="s">
        <v>16</v>
      </c>
      <c r="J23" s="72" t="s">
        <v>63</v>
      </c>
    </row>
    <row r="24" spans="1:10" ht="62.25" customHeight="1" x14ac:dyDescent="0.2">
      <c r="A24" s="12" t="s">
        <v>18</v>
      </c>
      <c r="B24" s="82" t="s">
        <v>44</v>
      </c>
      <c r="C24" s="58" t="s">
        <v>53</v>
      </c>
      <c r="D24" s="59" t="s">
        <v>54</v>
      </c>
      <c r="E24" s="39">
        <v>79000</v>
      </c>
      <c r="F24" s="39">
        <v>15010</v>
      </c>
      <c r="G24" s="39">
        <f t="shared" ref="G24:G25" si="1">E24</f>
        <v>79000</v>
      </c>
      <c r="H24" s="39">
        <f>E24</f>
        <v>79000</v>
      </c>
      <c r="I24" s="72" t="s">
        <v>16</v>
      </c>
      <c r="J24" s="72" t="s">
        <v>64</v>
      </c>
    </row>
    <row r="25" spans="1:10" ht="67.5" customHeight="1" x14ac:dyDescent="0.2">
      <c r="A25" s="42" t="s">
        <v>23</v>
      </c>
      <c r="B25" s="61" t="s">
        <v>65</v>
      </c>
      <c r="C25" s="60" t="s">
        <v>66</v>
      </c>
      <c r="D25" s="61" t="s">
        <v>67</v>
      </c>
      <c r="E25" s="46">
        <v>65518</v>
      </c>
      <c r="F25" s="46">
        <v>0</v>
      </c>
      <c r="G25" s="46">
        <f t="shared" si="1"/>
        <v>65518</v>
      </c>
      <c r="H25" s="46">
        <f>G25</f>
        <v>65518</v>
      </c>
      <c r="I25" s="61" t="s">
        <v>16</v>
      </c>
      <c r="J25" s="61"/>
    </row>
    <row r="26" spans="1:10" ht="12.75" customHeight="1" x14ac:dyDescent="0.2">
      <c r="D26" s="33"/>
      <c r="E26" s="33"/>
      <c r="F26" s="1"/>
      <c r="G26" s="1"/>
    </row>
    <row r="27" spans="1:10" ht="12.75" customHeight="1" x14ac:dyDescent="0.2">
      <c r="D27" s="2"/>
      <c r="E27" s="2"/>
      <c r="F27" s="2"/>
      <c r="G27" s="2"/>
    </row>
    <row r="28" spans="1:10" ht="12.75" customHeight="1" x14ac:dyDescent="0.2">
      <c r="D28" s="2"/>
      <c r="E28" s="2"/>
      <c r="F28" s="2"/>
      <c r="G28" s="2"/>
    </row>
    <row r="29" spans="1:10" ht="12.75" customHeight="1" x14ac:dyDescent="0.2">
      <c r="D29" s="2"/>
      <c r="E29" s="2"/>
      <c r="F29" s="2"/>
      <c r="G29" s="2"/>
    </row>
    <row r="30" spans="1:10" ht="12.75" customHeight="1" x14ac:dyDescent="0.2">
      <c r="D30" s="2"/>
      <c r="E30" s="2"/>
      <c r="F30" s="2"/>
      <c r="G30" s="2"/>
    </row>
    <row r="31" spans="1:10" ht="12.75" customHeight="1" x14ac:dyDescent="0.2">
      <c r="D31" s="2"/>
      <c r="E31" s="2"/>
      <c r="F31" s="2"/>
      <c r="G31" s="2"/>
    </row>
    <row r="32" spans="1:10" ht="12.75" customHeight="1" x14ac:dyDescent="0.2">
      <c r="D32" s="2"/>
      <c r="E32" s="2"/>
      <c r="F32" s="2"/>
      <c r="G32" s="2"/>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
    <mergeCell ref="D2:H2"/>
    <mergeCell ref="A5:J5"/>
    <mergeCell ref="A13:J13"/>
    <mergeCell ref="A15:J15"/>
    <mergeCell ref="D19:H19"/>
  </mergeCells>
  <hyperlinks>
    <hyperlink ref="C8" r:id="rId1" xr:uid="{00000000-0004-0000-0800-000000000000}"/>
    <hyperlink ref="C9" r:id="rId2" xr:uid="{00000000-0004-0000-0800-000001000000}"/>
    <hyperlink ref="C10" r:id="rId3" xr:uid="{00000000-0004-0000-0800-000002000000}"/>
    <hyperlink ref="C23" r:id="rId4" xr:uid="{34153492-F72B-46C1-BAD9-FAB81F9EB23D}"/>
    <hyperlink ref="C24" r:id="rId5" xr:uid="{388C1DFF-E55A-4090-BE6F-EAA70B25A42A}"/>
    <hyperlink ref="C25" r:id="rId6" xr:uid="{AB7DBCE9-286B-4340-8513-B9C55D13B48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784A-BD2E-4A4B-8B6A-A50FB7B5F9AC}">
  <dimension ref="A1:Y1000"/>
  <sheetViews>
    <sheetView topLeftCell="A10" workbookViewId="0">
      <selection activeCell="E43" sqref="E43:I43"/>
    </sheetView>
  </sheetViews>
  <sheetFormatPr baseColWidth="10" defaultColWidth="12.5703125" defaultRowHeight="15" customHeight="1" x14ac:dyDescent="0.2"/>
  <cols>
    <col min="1" max="3" width="19.140625" style="88" customWidth="1"/>
    <col min="4" max="4" width="21.85546875" style="88" customWidth="1"/>
    <col min="5" max="6" width="17" style="88" customWidth="1"/>
    <col min="7" max="7" width="18" style="88" customWidth="1"/>
    <col min="8" max="8" width="17" style="88" customWidth="1"/>
    <col min="9" max="9" width="19.140625" style="88" customWidth="1"/>
    <col min="10" max="10" width="66" style="88" customWidth="1"/>
    <col min="11" max="25" width="10" style="88" customWidth="1"/>
    <col min="26" max="16384" width="12.5703125" style="88"/>
  </cols>
  <sheetData>
    <row r="1" spans="1:25" ht="12.75" customHeight="1" x14ac:dyDescent="0.2">
      <c r="A1" s="1"/>
      <c r="B1" s="2"/>
      <c r="C1" s="2"/>
      <c r="D1" s="2"/>
      <c r="E1" s="3"/>
      <c r="F1" s="2"/>
      <c r="G1" s="2"/>
      <c r="H1" s="2"/>
      <c r="I1" s="2"/>
      <c r="J1" s="2"/>
      <c r="K1" s="2"/>
      <c r="L1" s="2"/>
      <c r="M1" s="2"/>
      <c r="N1" s="2"/>
      <c r="O1" s="2"/>
      <c r="P1" s="2"/>
      <c r="Q1" s="2"/>
      <c r="R1" s="2"/>
      <c r="S1" s="2"/>
      <c r="T1" s="2"/>
      <c r="U1" s="2"/>
      <c r="V1" s="2"/>
      <c r="W1" s="2"/>
      <c r="X1" s="2"/>
      <c r="Y1" s="2"/>
    </row>
    <row r="2" spans="1:25" ht="27.75" customHeight="1" x14ac:dyDescent="0.2">
      <c r="A2" s="2"/>
      <c r="B2" s="2"/>
      <c r="C2" s="2"/>
      <c r="D2" s="89" t="s">
        <v>0</v>
      </c>
      <c r="E2" s="90"/>
      <c r="F2" s="90"/>
      <c r="G2" s="90"/>
      <c r="H2" s="90"/>
      <c r="I2" s="2"/>
      <c r="J2" s="2"/>
      <c r="K2" s="2"/>
      <c r="L2" s="2"/>
      <c r="M2" s="2"/>
      <c r="N2" s="2"/>
      <c r="O2" s="2"/>
      <c r="P2" s="2"/>
      <c r="Q2" s="2"/>
      <c r="R2" s="2"/>
      <c r="S2" s="2"/>
      <c r="T2" s="2"/>
      <c r="U2" s="2"/>
      <c r="V2" s="2"/>
      <c r="W2" s="2"/>
      <c r="X2" s="2"/>
      <c r="Y2" s="2"/>
    </row>
    <row r="3" spans="1:25" ht="12.75" customHeight="1" x14ac:dyDescent="0.2">
      <c r="A3" s="2"/>
      <c r="B3" s="2"/>
      <c r="C3" s="2"/>
      <c r="D3" s="2"/>
      <c r="E3" s="3"/>
      <c r="F3" s="2"/>
      <c r="G3" s="2"/>
      <c r="H3" s="2"/>
      <c r="I3" s="2"/>
      <c r="J3" s="2"/>
      <c r="K3" s="2"/>
      <c r="L3" s="2"/>
      <c r="M3" s="2"/>
      <c r="N3" s="2"/>
      <c r="O3" s="2"/>
      <c r="P3" s="2"/>
      <c r="Q3" s="2"/>
      <c r="R3" s="2"/>
      <c r="S3" s="2"/>
      <c r="T3" s="2"/>
      <c r="U3" s="2"/>
      <c r="V3" s="2"/>
      <c r="W3" s="2"/>
      <c r="X3" s="2"/>
      <c r="Y3" s="2"/>
    </row>
    <row r="4" spans="1:25" ht="12.75" customHeight="1" x14ac:dyDescent="0.2">
      <c r="A4" s="2"/>
      <c r="B4" s="2"/>
      <c r="C4" s="2"/>
      <c r="D4" s="2"/>
      <c r="E4" s="3"/>
      <c r="F4" s="2"/>
      <c r="G4" s="2"/>
      <c r="H4" s="2"/>
      <c r="I4" s="2"/>
      <c r="J4" s="2"/>
      <c r="K4" s="2"/>
      <c r="L4" s="2"/>
      <c r="M4" s="2"/>
      <c r="N4" s="2"/>
      <c r="O4" s="2"/>
      <c r="P4" s="2"/>
      <c r="Q4" s="2"/>
      <c r="R4" s="2"/>
      <c r="S4" s="2"/>
      <c r="T4" s="2"/>
      <c r="U4" s="2"/>
      <c r="V4" s="2"/>
      <c r="W4" s="2"/>
      <c r="X4" s="2"/>
      <c r="Y4" s="2"/>
    </row>
    <row r="5" spans="1:25"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row>
    <row r="6" spans="1:25" ht="15.75" customHeight="1" x14ac:dyDescent="0.2">
      <c r="A6" s="2"/>
      <c r="B6" s="2"/>
      <c r="C6" s="2"/>
      <c r="D6" s="2"/>
      <c r="E6" s="3"/>
      <c r="F6" s="2"/>
      <c r="G6" s="2"/>
      <c r="H6" s="2"/>
      <c r="I6" s="2"/>
      <c r="J6" s="2"/>
      <c r="K6" s="2"/>
      <c r="L6" s="2"/>
      <c r="M6" s="2"/>
      <c r="N6" s="2"/>
      <c r="O6" s="2"/>
      <c r="P6" s="2"/>
      <c r="Q6" s="2"/>
      <c r="R6" s="2"/>
      <c r="S6" s="2"/>
      <c r="T6" s="2"/>
      <c r="U6" s="2"/>
      <c r="V6" s="2"/>
      <c r="W6" s="2"/>
      <c r="X6" s="2"/>
      <c r="Y6" s="2"/>
    </row>
    <row r="7" spans="1:25" ht="75.75" customHeight="1" x14ac:dyDescent="0.2">
      <c r="A7" s="4" t="s">
        <v>2</v>
      </c>
      <c r="B7" s="6" t="s">
        <v>3</v>
      </c>
      <c r="C7" s="6" t="s">
        <v>4</v>
      </c>
      <c r="D7" s="6" t="s">
        <v>5</v>
      </c>
      <c r="E7" s="7" t="s">
        <v>6</v>
      </c>
      <c r="F7" s="8" t="s">
        <v>7</v>
      </c>
      <c r="G7" s="9" t="s">
        <v>8</v>
      </c>
      <c r="H7" s="6" t="s">
        <v>9</v>
      </c>
      <c r="I7" s="6" t="s">
        <v>10</v>
      </c>
      <c r="J7" s="10" t="s">
        <v>11</v>
      </c>
      <c r="K7" s="11"/>
      <c r="L7" s="11"/>
      <c r="M7" s="11"/>
      <c r="N7" s="11"/>
      <c r="O7" s="11"/>
      <c r="P7" s="11"/>
      <c r="Q7" s="11"/>
      <c r="R7" s="11"/>
      <c r="S7" s="11"/>
      <c r="T7" s="11"/>
      <c r="U7" s="11"/>
      <c r="V7" s="11"/>
      <c r="W7" s="11"/>
      <c r="X7" s="11"/>
      <c r="Y7" s="11"/>
    </row>
    <row r="8" spans="1:25" ht="57.75" customHeight="1" x14ac:dyDescent="0.2">
      <c r="A8" s="12" t="s">
        <v>12</v>
      </c>
      <c r="B8" s="28" t="s">
        <v>13</v>
      </c>
      <c r="C8" s="14" t="s">
        <v>14</v>
      </c>
      <c r="D8" s="15" t="s">
        <v>15</v>
      </c>
      <c r="E8" s="17">
        <v>4195900</v>
      </c>
      <c r="F8" s="17">
        <f>E8</f>
        <v>4195900</v>
      </c>
      <c r="G8" s="17">
        <f>E8</f>
        <v>4195900</v>
      </c>
      <c r="H8" s="18"/>
      <c r="I8" s="19" t="s">
        <v>16</v>
      </c>
      <c r="J8" s="99" t="s">
        <v>17</v>
      </c>
      <c r="K8" s="2"/>
      <c r="L8" s="2"/>
      <c r="M8" s="2"/>
      <c r="N8" s="2"/>
      <c r="O8" s="2"/>
      <c r="P8" s="2"/>
      <c r="Q8" s="2"/>
      <c r="R8" s="2"/>
      <c r="S8" s="2"/>
      <c r="T8" s="2"/>
      <c r="U8" s="2"/>
      <c r="V8" s="2"/>
      <c r="W8" s="2"/>
      <c r="X8" s="2"/>
      <c r="Y8" s="2"/>
    </row>
    <row r="9" spans="1:25" ht="59.25" customHeight="1" x14ac:dyDescent="0.2">
      <c r="A9" s="20" t="s">
        <v>18</v>
      </c>
      <c r="B9" s="21" t="s">
        <v>19</v>
      </c>
      <c r="C9" s="22" t="s">
        <v>20</v>
      </c>
      <c r="D9" s="23" t="s">
        <v>21</v>
      </c>
      <c r="E9" s="24">
        <v>3671037</v>
      </c>
      <c r="F9" s="73">
        <v>3671037</v>
      </c>
      <c r="G9" s="24">
        <f>F9</f>
        <v>3671037</v>
      </c>
      <c r="H9" s="26"/>
      <c r="I9" s="98" t="s">
        <v>171</v>
      </c>
      <c r="J9" s="101" t="s">
        <v>22</v>
      </c>
      <c r="K9" s="2"/>
      <c r="L9" s="2"/>
      <c r="M9" s="2"/>
      <c r="N9" s="2"/>
      <c r="O9" s="2"/>
      <c r="P9" s="2"/>
      <c r="Q9" s="2"/>
      <c r="R9" s="2"/>
      <c r="S9" s="2"/>
      <c r="T9" s="2"/>
      <c r="U9" s="2"/>
      <c r="V9" s="2"/>
      <c r="W9" s="2"/>
      <c r="X9" s="2"/>
      <c r="Y9" s="2"/>
    </row>
    <row r="10" spans="1:25" ht="51.75" customHeight="1" x14ac:dyDescent="0.2">
      <c r="A10" s="12" t="s">
        <v>23</v>
      </c>
      <c r="B10" s="28" t="s">
        <v>24</v>
      </c>
      <c r="C10" s="27" t="s">
        <v>25</v>
      </c>
      <c r="D10" s="28" t="s">
        <v>26</v>
      </c>
      <c r="E10" s="17">
        <v>4377912</v>
      </c>
      <c r="F10" s="17">
        <v>4377912</v>
      </c>
      <c r="G10" s="17">
        <f>E10</f>
        <v>4377912</v>
      </c>
      <c r="H10" s="29"/>
      <c r="I10" s="28" t="s">
        <v>16</v>
      </c>
      <c r="J10" s="100" t="s">
        <v>27</v>
      </c>
      <c r="K10" s="2"/>
      <c r="L10" s="2"/>
      <c r="M10" s="2"/>
      <c r="N10" s="2"/>
      <c r="O10" s="2"/>
      <c r="P10" s="2"/>
      <c r="Q10" s="2"/>
      <c r="R10" s="2"/>
      <c r="S10" s="2"/>
      <c r="T10" s="2"/>
      <c r="U10" s="2"/>
      <c r="V10" s="2"/>
      <c r="W10" s="2"/>
      <c r="X10" s="2"/>
      <c r="Y10" s="2"/>
    </row>
    <row r="11" spans="1:25" ht="15" hidden="1" customHeight="1" x14ac:dyDescent="0.2">
      <c r="A11" s="30"/>
      <c r="B11" s="50"/>
      <c r="C11" s="50"/>
      <c r="D11" s="50"/>
      <c r="E11" s="32"/>
      <c r="F11" s="50"/>
      <c r="G11" s="50"/>
      <c r="H11" s="50"/>
      <c r="I11" s="50"/>
      <c r="J11" s="50"/>
      <c r="K11" s="2"/>
      <c r="L11" s="2"/>
      <c r="M11" s="2"/>
      <c r="N11" s="2"/>
      <c r="O11" s="2"/>
      <c r="P11" s="2"/>
      <c r="Q11" s="2"/>
      <c r="R11" s="2"/>
      <c r="S11" s="2"/>
      <c r="T11" s="2"/>
      <c r="U11" s="2"/>
      <c r="V11" s="2"/>
      <c r="W11" s="2"/>
      <c r="X11" s="2"/>
      <c r="Y11" s="2"/>
    </row>
    <row r="12" spans="1:25" ht="12.75" customHeight="1" x14ac:dyDescent="0.2">
      <c r="A12" s="2"/>
      <c r="B12" s="2"/>
      <c r="C12" s="2"/>
      <c r="D12" s="2"/>
      <c r="E12" s="3"/>
      <c r="F12" s="2"/>
      <c r="G12" s="2"/>
      <c r="H12" s="2"/>
      <c r="I12" s="2"/>
      <c r="J12" s="2"/>
      <c r="K12" s="2"/>
      <c r="L12" s="2"/>
      <c r="M12" s="2"/>
      <c r="N12" s="2"/>
      <c r="O12" s="2"/>
      <c r="P12" s="2"/>
      <c r="Q12" s="2"/>
      <c r="R12" s="2"/>
      <c r="S12" s="2"/>
      <c r="T12" s="2"/>
      <c r="U12" s="2"/>
      <c r="V12" s="2"/>
      <c r="W12" s="2"/>
      <c r="X12" s="2"/>
      <c r="Y12" s="2"/>
    </row>
    <row r="13" spans="1:25" ht="138.75" customHeight="1" x14ac:dyDescent="0.2">
      <c r="A13" s="94" t="s">
        <v>28</v>
      </c>
      <c r="B13" s="92"/>
      <c r="C13" s="92"/>
      <c r="D13" s="92"/>
      <c r="E13" s="92"/>
      <c r="F13" s="92"/>
      <c r="G13" s="92"/>
      <c r="H13" s="92"/>
      <c r="I13" s="92"/>
      <c r="J13" s="93"/>
      <c r="K13" s="2"/>
      <c r="L13" s="2"/>
      <c r="M13" s="2"/>
      <c r="N13" s="2"/>
      <c r="O13" s="2"/>
      <c r="P13" s="2"/>
      <c r="Q13" s="2"/>
      <c r="R13" s="2"/>
      <c r="S13" s="2"/>
      <c r="T13" s="2"/>
      <c r="U13" s="2"/>
      <c r="V13" s="2"/>
      <c r="W13" s="2"/>
      <c r="X13" s="2"/>
      <c r="Y13" s="2"/>
    </row>
    <row r="14" spans="1:25" ht="10.5" customHeight="1" x14ac:dyDescent="0.2">
      <c r="A14" s="2"/>
      <c r="B14" s="2"/>
      <c r="C14" s="2"/>
      <c r="D14" s="2"/>
      <c r="E14" s="3"/>
      <c r="F14" s="2"/>
      <c r="G14" s="2"/>
      <c r="H14" s="2"/>
      <c r="I14" s="2"/>
      <c r="J14" s="2"/>
      <c r="K14" s="2"/>
      <c r="L14" s="2"/>
      <c r="M14" s="2"/>
      <c r="N14" s="2"/>
      <c r="O14" s="2"/>
      <c r="P14" s="2"/>
      <c r="Q14" s="2"/>
      <c r="R14" s="2"/>
      <c r="S14" s="2"/>
      <c r="T14" s="2"/>
      <c r="U14" s="2"/>
      <c r="V14" s="2"/>
      <c r="W14" s="2"/>
      <c r="X14" s="2"/>
      <c r="Y14" s="2"/>
    </row>
    <row r="15" spans="1:25" ht="14.25" customHeight="1" x14ac:dyDescent="0.2">
      <c r="A15" s="95"/>
      <c r="B15" s="96"/>
      <c r="C15" s="96"/>
      <c r="D15" s="96"/>
      <c r="E15" s="96"/>
      <c r="F15" s="96"/>
      <c r="G15" s="96"/>
      <c r="H15" s="96"/>
      <c r="I15" s="96"/>
      <c r="J15" s="96"/>
      <c r="K15" s="2"/>
      <c r="L15" s="2"/>
      <c r="M15" s="2"/>
      <c r="N15" s="2"/>
      <c r="O15" s="2"/>
      <c r="P15" s="2"/>
      <c r="Q15" s="2"/>
      <c r="R15" s="2"/>
      <c r="S15" s="2"/>
      <c r="T15" s="2"/>
      <c r="U15" s="2"/>
      <c r="V15" s="2"/>
      <c r="W15" s="2"/>
      <c r="X15" s="2"/>
      <c r="Y15" s="2"/>
    </row>
    <row r="16" spans="1:25" ht="12.75" customHeight="1" x14ac:dyDescent="0.2">
      <c r="A16" s="2"/>
      <c r="B16" s="2"/>
      <c r="C16" s="2"/>
      <c r="D16" s="2"/>
      <c r="E16" s="3"/>
      <c r="F16" s="2"/>
      <c r="G16" s="2"/>
      <c r="H16" s="2"/>
      <c r="I16" s="2"/>
      <c r="J16" s="2"/>
      <c r="K16" s="2"/>
      <c r="L16" s="2"/>
      <c r="M16" s="2"/>
      <c r="N16" s="2"/>
      <c r="O16" s="2"/>
      <c r="P16" s="2"/>
      <c r="Q16" s="2"/>
      <c r="R16" s="2"/>
      <c r="S16" s="2"/>
      <c r="T16" s="2"/>
      <c r="U16" s="2"/>
      <c r="V16" s="2"/>
      <c r="W16" s="2"/>
      <c r="X16" s="2"/>
      <c r="Y16" s="2"/>
    </row>
    <row r="17" spans="1:10" ht="12.75" customHeight="1" x14ac:dyDescent="0.2">
      <c r="D17" s="2"/>
      <c r="E17" s="97" t="s">
        <v>173</v>
      </c>
      <c r="F17" s="90"/>
      <c r="G17" s="90"/>
      <c r="H17" s="90"/>
      <c r="I17" s="90"/>
    </row>
    <row r="18" spans="1:10" ht="12.75" customHeight="1" x14ac:dyDescent="0.2">
      <c r="D18" s="2"/>
      <c r="E18" s="3"/>
      <c r="F18" s="2"/>
      <c r="G18" s="2"/>
    </row>
    <row r="19" spans="1:10" ht="12.75" customHeight="1" x14ac:dyDescent="0.2">
      <c r="D19" s="2"/>
      <c r="E19" s="3"/>
      <c r="F19" s="2"/>
      <c r="G19" s="2"/>
    </row>
    <row r="20" spans="1:10" ht="46.5" customHeight="1" x14ac:dyDescent="0.2">
      <c r="A20" s="4" t="s">
        <v>2</v>
      </c>
      <c r="B20" s="6" t="s">
        <v>29</v>
      </c>
      <c r="C20" s="6" t="s">
        <v>30</v>
      </c>
      <c r="D20" s="6" t="s">
        <v>31</v>
      </c>
      <c r="E20" s="6" t="s">
        <v>32</v>
      </c>
      <c r="F20" s="8" t="s">
        <v>33</v>
      </c>
      <c r="G20" s="9" t="s">
        <v>34</v>
      </c>
      <c r="H20" s="6" t="s">
        <v>9</v>
      </c>
      <c r="I20" s="6" t="s">
        <v>35</v>
      </c>
      <c r="J20" s="6" t="s">
        <v>36</v>
      </c>
    </row>
    <row r="21" spans="1:10" ht="50.25" customHeight="1" x14ac:dyDescent="0.2">
      <c r="A21" s="12" t="s">
        <v>12</v>
      </c>
      <c r="B21" s="72" t="s">
        <v>49</v>
      </c>
      <c r="C21" s="51" t="s">
        <v>50</v>
      </c>
      <c r="D21" s="72" t="s">
        <v>51</v>
      </c>
      <c r="E21" s="39">
        <v>89900</v>
      </c>
      <c r="F21" s="39">
        <f>E21*19%</f>
        <v>17081</v>
      </c>
      <c r="G21" s="39">
        <f>E21+F21</f>
        <v>106981</v>
      </c>
      <c r="H21" s="39">
        <f t="shared" ref="H21:H23" si="0">G21</f>
        <v>106981</v>
      </c>
      <c r="I21" s="72" t="s">
        <v>16</v>
      </c>
      <c r="J21" s="72" t="s">
        <v>52</v>
      </c>
    </row>
    <row r="22" spans="1:10" ht="32.25" customHeight="1" x14ac:dyDescent="0.2">
      <c r="A22" s="12" t="s">
        <v>18</v>
      </c>
      <c r="B22" s="82" t="s">
        <v>44</v>
      </c>
      <c r="C22" s="53" t="s">
        <v>53</v>
      </c>
      <c r="D22" s="72" t="s">
        <v>54</v>
      </c>
      <c r="E22" s="39">
        <v>79000</v>
      </c>
      <c r="F22" s="39">
        <f>E22*19%</f>
        <v>15010</v>
      </c>
      <c r="G22" s="39">
        <f>F22+E22</f>
        <v>94010</v>
      </c>
      <c r="H22" s="39">
        <f t="shared" si="0"/>
        <v>94010</v>
      </c>
      <c r="I22" s="72" t="s">
        <v>16</v>
      </c>
      <c r="J22" s="50" t="s">
        <v>55</v>
      </c>
    </row>
    <row r="23" spans="1:10" ht="51.75" customHeight="1" x14ac:dyDescent="0.2">
      <c r="A23" s="42" t="s">
        <v>23</v>
      </c>
      <c r="B23" s="61" t="s">
        <v>56</v>
      </c>
      <c r="C23" s="54" t="s">
        <v>57</v>
      </c>
      <c r="D23" s="61" t="s">
        <v>58</v>
      </c>
      <c r="E23" s="46">
        <v>40900</v>
      </c>
      <c r="F23" s="46">
        <f>E23*19%</f>
        <v>7771</v>
      </c>
      <c r="G23" s="46">
        <f>E23+F23</f>
        <v>48671</v>
      </c>
      <c r="H23" s="46">
        <f t="shared" si="0"/>
        <v>48671</v>
      </c>
      <c r="I23" s="61" t="s">
        <v>16</v>
      </c>
      <c r="J23" s="47" t="s">
        <v>59</v>
      </c>
    </row>
    <row r="24" spans="1:10" ht="12.75" customHeight="1" x14ac:dyDescent="0.2">
      <c r="D24" s="2"/>
      <c r="E24" s="3"/>
      <c r="F24" s="2"/>
      <c r="G24" s="2"/>
    </row>
    <row r="25" spans="1:10" ht="12.75" customHeight="1" x14ac:dyDescent="0.2">
      <c r="D25" s="2"/>
      <c r="E25" s="3"/>
      <c r="F25" s="2"/>
      <c r="G25" s="2"/>
    </row>
    <row r="26" spans="1:10" ht="12.75" customHeight="1" x14ac:dyDescent="0.2">
      <c r="D26" s="33"/>
      <c r="E26" s="34"/>
      <c r="F26" s="1"/>
      <c r="G26" s="1"/>
    </row>
    <row r="27" spans="1:10" ht="12.75" customHeight="1" x14ac:dyDescent="0.2">
      <c r="D27" s="2"/>
      <c r="E27" s="3"/>
      <c r="F27" s="2"/>
      <c r="G27" s="2"/>
    </row>
    <row r="28" spans="1:10" ht="12.75" customHeight="1" x14ac:dyDescent="0.2">
      <c r="D28" s="2"/>
      <c r="E28" s="97" t="s">
        <v>174</v>
      </c>
      <c r="F28" s="90"/>
      <c r="G28" s="90"/>
      <c r="H28" s="90"/>
      <c r="I28" s="90"/>
    </row>
    <row r="29" spans="1:10" ht="12.75" customHeight="1" x14ac:dyDescent="0.2">
      <c r="D29" s="2"/>
      <c r="E29" s="3"/>
      <c r="F29" s="2"/>
      <c r="G29" s="2"/>
    </row>
    <row r="30" spans="1:10" ht="12.75" customHeight="1" x14ac:dyDescent="0.2">
      <c r="D30" s="2"/>
      <c r="E30" s="3"/>
      <c r="F30" s="2"/>
      <c r="G30" s="2"/>
    </row>
    <row r="31" spans="1:10" ht="9" customHeight="1" x14ac:dyDescent="0.2">
      <c r="D31" s="2"/>
      <c r="E31" s="3"/>
      <c r="F31" s="2"/>
      <c r="G31" s="2"/>
    </row>
    <row r="32" spans="1:10" ht="12.75" hidden="1" customHeight="1" x14ac:dyDescent="0.2">
      <c r="D32" s="2"/>
      <c r="E32" s="3"/>
      <c r="F32" s="2"/>
      <c r="G32" s="2"/>
    </row>
    <row r="33" spans="1:10" ht="12.75" hidden="1" customHeight="1" x14ac:dyDescent="0.2">
      <c r="E33" s="3"/>
    </row>
    <row r="34" spans="1:10" ht="1.5" customHeight="1" x14ac:dyDescent="0.2">
      <c r="E34" s="3"/>
    </row>
    <row r="35" spans="1:10" ht="66" customHeight="1" x14ac:dyDescent="0.2">
      <c r="A35" s="4" t="s">
        <v>2</v>
      </c>
      <c r="B35" s="6" t="s">
        <v>29</v>
      </c>
      <c r="C35" s="10" t="s">
        <v>30</v>
      </c>
      <c r="D35" s="6" t="s">
        <v>31</v>
      </c>
      <c r="E35" s="6" t="s">
        <v>32</v>
      </c>
      <c r="F35" s="8" t="s">
        <v>33</v>
      </c>
      <c r="G35" s="9" t="s">
        <v>34</v>
      </c>
      <c r="H35" s="6" t="s">
        <v>9</v>
      </c>
      <c r="I35" s="6" t="s">
        <v>35</v>
      </c>
      <c r="J35" s="6" t="s">
        <v>36</v>
      </c>
    </row>
    <row r="36" spans="1:10" ht="62.25" customHeight="1" x14ac:dyDescent="0.2">
      <c r="A36" s="12" t="s">
        <v>12</v>
      </c>
      <c r="B36" s="35" t="s">
        <v>37</v>
      </c>
      <c r="C36" s="36" t="s">
        <v>38</v>
      </c>
      <c r="D36" s="37" t="s">
        <v>39</v>
      </c>
      <c r="E36" s="39">
        <v>484000</v>
      </c>
      <c r="F36" s="39">
        <f t="shared" ref="F36:F38" si="1">E36*19%</f>
        <v>91960</v>
      </c>
      <c r="G36" s="39">
        <f t="shared" ref="G36:G37" si="2">E36+F36</f>
        <v>575960</v>
      </c>
      <c r="H36" s="39">
        <f t="shared" ref="H36:H37" si="3">G36</f>
        <v>575960</v>
      </c>
      <c r="I36" s="72" t="s">
        <v>16</v>
      </c>
      <c r="J36" s="41" t="s">
        <v>40</v>
      </c>
    </row>
    <row r="37" spans="1:10" ht="66" customHeight="1" x14ac:dyDescent="0.2">
      <c r="A37" s="42" t="s">
        <v>18</v>
      </c>
      <c r="B37" s="61" t="s">
        <v>13</v>
      </c>
      <c r="C37" s="44" t="s">
        <v>41</v>
      </c>
      <c r="D37" s="47" t="s">
        <v>42</v>
      </c>
      <c r="E37" s="46">
        <v>721900</v>
      </c>
      <c r="F37" s="46">
        <f t="shared" si="1"/>
        <v>137161</v>
      </c>
      <c r="G37" s="46">
        <f t="shared" si="2"/>
        <v>859061</v>
      </c>
      <c r="H37" s="46">
        <f t="shared" si="3"/>
        <v>859061</v>
      </c>
      <c r="I37" s="61" t="s">
        <v>16</v>
      </c>
      <c r="J37" s="47" t="s">
        <v>43</v>
      </c>
    </row>
    <row r="38" spans="1:10" ht="74.25" customHeight="1" x14ac:dyDescent="0.2">
      <c r="A38" s="12" t="s">
        <v>23</v>
      </c>
      <c r="B38" s="48" t="s">
        <v>44</v>
      </c>
      <c r="C38" s="49" t="s">
        <v>45</v>
      </c>
      <c r="D38" s="50" t="s">
        <v>46</v>
      </c>
      <c r="E38" s="39">
        <v>939900</v>
      </c>
      <c r="F38" s="39">
        <f t="shared" si="1"/>
        <v>178581</v>
      </c>
      <c r="G38" s="39">
        <f t="shared" ref="G38:H38" si="4">F38</f>
        <v>178581</v>
      </c>
      <c r="H38" s="39">
        <f t="shared" si="4"/>
        <v>178581</v>
      </c>
      <c r="I38" s="72" t="s">
        <v>47</v>
      </c>
      <c r="J38" s="50" t="s">
        <v>48</v>
      </c>
    </row>
    <row r="39" spans="1:10" ht="12.75" customHeight="1" x14ac:dyDescent="0.2">
      <c r="E39" s="3"/>
    </row>
    <row r="40" spans="1:10" ht="12.75" customHeight="1" x14ac:dyDescent="0.2">
      <c r="E40" s="3"/>
    </row>
    <row r="41" spans="1:10" ht="12.75" customHeight="1" x14ac:dyDescent="0.2">
      <c r="E41" s="3"/>
    </row>
    <row r="42" spans="1:10" ht="12.75" customHeight="1" x14ac:dyDescent="0.2">
      <c r="E42" s="3"/>
    </row>
    <row r="43" spans="1:10" ht="12.75" customHeight="1" x14ac:dyDescent="0.2">
      <c r="E43" s="97" t="s">
        <v>175</v>
      </c>
      <c r="F43" s="90"/>
      <c r="G43" s="90"/>
      <c r="H43" s="90"/>
      <c r="I43" s="90"/>
    </row>
    <row r="44" spans="1:10" ht="11.25" customHeight="1" x14ac:dyDescent="0.2">
      <c r="E44" s="3"/>
    </row>
    <row r="45" spans="1:10" ht="3.75" hidden="1" customHeight="1" x14ac:dyDescent="0.2">
      <c r="E45" s="3"/>
    </row>
    <row r="46" spans="1:10" ht="81" customHeight="1" x14ac:dyDescent="0.2">
      <c r="A46" s="4" t="s">
        <v>2</v>
      </c>
      <c r="B46" s="6" t="s">
        <v>29</v>
      </c>
      <c r="C46" s="6" t="s">
        <v>30</v>
      </c>
      <c r="D46" s="10" t="s">
        <v>31</v>
      </c>
      <c r="E46" s="6" t="s">
        <v>32</v>
      </c>
      <c r="F46" s="8" t="s">
        <v>33</v>
      </c>
      <c r="G46" s="9" t="s">
        <v>60</v>
      </c>
      <c r="H46" s="6" t="s">
        <v>9</v>
      </c>
      <c r="I46" s="6" t="s">
        <v>35</v>
      </c>
      <c r="J46" s="6" t="s">
        <v>36</v>
      </c>
    </row>
    <row r="47" spans="1:10" ht="61.5" customHeight="1" x14ac:dyDescent="0.2">
      <c r="A47" s="12" t="s">
        <v>12</v>
      </c>
      <c r="B47" s="72" t="s">
        <v>49</v>
      </c>
      <c r="C47" s="55" t="s">
        <v>61</v>
      </c>
      <c r="D47" s="56" t="s">
        <v>62</v>
      </c>
      <c r="E47" s="63">
        <v>229900</v>
      </c>
      <c r="F47" s="39">
        <f>E47*19%</f>
        <v>43681</v>
      </c>
      <c r="G47" s="39">
        <f>E47+F47</f>
        <v>273581</v>
      </c>
      <c r="H47" s="39">
        <f>G47</f>
        <v>273581</v>
      </c>
      <c r="I47" s="72" t="s">
        <v>16</v>
      </c>
      <c r="J47" s="72" t="s">
        <v>63</v>
      </c>
    </row>
    <row r="48" spans="1:10" ht="60.75" customHeight="1" x14ac:dyDescent="0.2">
      <c r="A48" s="12" t="s">
        <v>18</v>
      </c>
      <c r="B48" s="82" t="s">
        <v>44</v>
      </c>
      <c r="C48" s="58" t="s">
        <v>53</v>
      </c>
      <c r="D48" s="59" t="s">
        <v>54</v>
      </c>
      <c r="E48" s="39">
        <v>79000</v>
      </c>
      <c r="F48" s="39">
        <v>15010</v>
      </c>
      <c r="G48" s="39">
        <f t="shared" ref="G48:G49" si="5">E48</f>
        <v>79000</v>
      </c>
      <c r="H48" s="39">
        <f>E48</f>
        <v>79000</v>
      </c>
      <c r="I48" s="72" t="s">
        <v>16</v>
      </c>
      <c r="J48" s="72" t="s">
        <v>64</v>
      </c>
    </row>
    <row r="49" spans="1:10" ht="67.5" customHeight="1" x14ac:dyDescent="0.2">
      <c r="A49" s="42" t="s">
        <v>23</v>
      </c>
      <c r="B49" s="61" t="s">
        <v>65</v>
      </c>
      <c r="C49" s="60" t="s">
        <v>66</v>
      </c>
      <c r="D49" s="61" t="s">
        <v>67</v>
      </c>
      <c r="E49" s="46">
        <v>65518</v>
      </c>
      <c r="F49" s="46">
        <v>0</v>
      </c>
      <c r="G49" s="46">
        <f t="shared" si="5"/>
        <v>65518</v>
      </c>
      <c r="H49" s="46">
        <f>G49</f>
        <v>65518</v>
      </c>
      <c r="I49" s="61" t="s">
        <v>16</v>
      </c>
      <c r="J49" s="61"/>
    </row>
    <row r="50" spans="1:10" ht="12.75" customHeight="1" x14ac:dyDescent="0.2">
      <c r="E50" s="3"/>
    </row>
    <row r="51" spans="1:10" ht="12.75" customHeight="1" x14ac:dyDescent="0.2">
      <c r="E51" s="3"/>
    </row>
    <row r="52" spans="1:10" ht="12.75" customHeight="1" x14ac:dyDescent="0.2">
      <c r="E52" s="3"/>
    </row>
    <row r="53" spans="1:10" ht="12.75" customHeight="1" x14ac:dyDescent="0.2">
      <c r="E53" s="3"/>
    </row>
    <row r="54" spans="1:10" ht="12.75" customHeight="1" x14ac:dyDescent="0.2">
      <c r="E54" s="3"/>
    </row>
    <row r="55" spans="1:10" ht="12.75" customHeight="1" x14ac:dyDescent="0.2">
      <c r="E55" s="3"/>
    </row>
    <row r="56" spans="1:10" ht="12.75" customHeight="1" x14ac:dyDescent="0.2">
      <c r="E56" s="3"/>
    </row>
    <row r="57" spans="1:10" ht="12.75" customHeight="1" x14ac:dyDescent="0.2">
      <c r="E57" s="3"/>
    </row>
    <row r="58" spans="1:10" ht="12.75" customHeight="1" x14ac:dyDescent="0.2">
      <c r="E58" s="3"/>
    </row>
    <row r="59" spans="1:10" ht="12.75" customHeight="1" x14ac:dyDescent="0.2">
      <c r="E59" s="3"/>
    </row>
    <row r="60" spans="1:10" ht="12.75" customHeight="1" x14ac:dyDescent="0.2">
      <c r="E60" s="3"/>
    </row>
    <row r="61" spans="1:10" ht="12.75" customHeight="1" x14ac:dyDescent="0.2">
      <c r="E61" s="3"/>
    </row>
    <row r="62" spans="1:10" ht="12.75" customHeight="1" x14ac:dyDescent="0.2">
      <c r="E62" s="3"/>
    </row>
    <row r="63" spans="1:10" ht="12.75" customHeight="1" x14ac:dyDescent="0.2">
      <c r="E63" s="3"/>
    </row>
    <row r="64" spans="1:10" ht="12.75" customHeight="1" x14ac:dyDescent="0.2">
      <c r="E64" s="3"/>
    </row>
    <row r="65" spans="5:5" ht="12.75" customHeight="1" x14ac:dyDescent="0.2">
      <c r="E65" s="3"/>
    </row>
    <row r="66" spans="5:5" ht="12.75" customHeight="1" x14ac:dyDescent="0.2">
      <c r="E66" s="3"/>
    </row>
    <row r="67" spans="5:5" ht="12.75" customHeight="1" x14ac:dyDescent="0.2">
      <c r="E67" s="3"/>
    </row>
    <row r="68" spans="5:5" ht="12.75" customHeight="1" x14ac:dyDescent="0.2">
      <c r="E68" s="3"/>
    </row>
    <row r="69" spans="5:5" ht="12.75" customHeight="1" x14ac:dyDescent="0.2">
      <c r="E69" s="3"/>
    </row>
    <row r="70" spans="5:5" ht="12.75" customHeight="1" x14ac:dyDescent="0.2">
      <c r="E70" s="3"/>
    </row>
    <row r="71" spans="5:5" ht="12.75" customHeight="1" x14ac:dyDescent="0.2">
      <c r="E71" s="3"/>
    </row>
    <row r="72" spans="5:5" ht="12.75" customHeight="1" x14ac:dyDescent="0.2">
      <c r="E72" s="3"/>
    </row>
    <row r="73" spans="5:5" ht="12.75" customHeight="1" x14ac:dyDescent="0.2">
      <c r="E73" s="3"/>
    </row>
    <row r="74" spans="5:5" ht="12.75" customHeight="1" x14ac:dyDescent="0.2">
      <c r="E74" s="3"/>
    </row>
    <row r="75" spans="5:5" ht="12.75" customHeight="1" x14ac:dyDescent="0.2">
      <c r="E75" s="3"/>
    </row>
    <row r="76" spans="5:5" ht="12.75" customHeight="1" x14ac:dyDescent="0.2">
      <c r="E76" s="3"/>
    </row>
    <row r="77" spans="5:5" ht="12.75" customHeight="1" x14ac:dyDescent="0.2">
      <c r="E77" s="3"/>
    </row>
    <row r="78" spans="5:5" ht="12.75" customHeight="1" x14ac:dyDescent="0.2">
      <c r="E78" s="3"/>
    </row>
    <row r="79" spans="5:5" ht="12.75" customHeight="1" x14ac:dyDescent="0.2">
      <c r="E79" s="3"/>
    </row>
    <row r="80" spans="5:5" ht="12.75" customHeight="1" x14ac:dyDescent="0.2">
      <c r="E80" s="3"/>
    </row>
    <row r="81" spans="5:5" ht="12.75" customHeight="1" x14ac:dyDescent="0.2">
      <c r="E81" s="3"/>
    </row>
    <row r="82" spans="5:5" ht="12.75" customHeight="1" x14ac:dyDescent="0.2">
      <c r="E82" s="3"/>
    </row>
    <row r="83" spans="5:5" ht="12.75" customHeight="1" x14ac:dyDescent="0.2">
      <c r="E83" s="3"/>
    </row>
    <row r="84" spans="5:5" ht="12.75" customHeight="1" x14ac:dyDescent="0.2">
      <c r="E84" s="3"/>
    </row>
    <row r="85" spans="5:5" ht="12.75" customHeight="1" x14ac:dyDescent="0.2">
      <c r="E85" s="3"/>
    </row>
    <row r="86" spans="5:5" ht="12.75" customHeight="1" x14ac:dyDescent="0.2">
      <c r="E86" s="3"/>
    </row>
    <row r="87" spans="5:5" ht="12.75" customHeight="1" x14ac:dyDescent="0.2">
      <c r="E87" s="3"/>
    </row>
    <row r="88" spans="5:5" ht="12.75" customHeight="1" x14ac:dyDescent="0.2">
      <c r="E88" s="3"/>
    </row>
    <row r="89" spans="5:5" ht="12.75" customHeight="1" x14ac:dyDescent="0.2">
      <c r="E89" s="3"/>
    </row>
    <row r="90" spans="5:5" ht="12.75" customHeight="1" x14ac:dyDescent="0.2">
      <c r="E90" s="3"/>
    </row>
    <row r="91" spans="5:5" ht="12.75" customHeight="1" x14ac:dyDescent="0.2">
      <c r="E91" s="3"/>
    </row>
    <row r="92" spans="5:5" ht="12.75" customHeight="1" x14ac:dyDescent="0.2">
      <c r="E92" s="3"/>
    </row>
    <row r="93" spans="5:5" ht="12.75" customHeight="1" x14ac:dyDescent="0.2">
      <c r="E93" s="3"/>
    </row>
    <row r="94" spans="5:5" ht="12.75" customHeight="1" x14ac:dyDescent="0.2">
      <c r="E94" s="3"/>
    </row>
    <row r="95" spans="5:5" ht="12.75" customHeight="1" x14ac:dyDescent="0.2">
      <c r="E95" s="3"/>
    </row>
    <row r="96" spans="5:5" ht="12.75" customHeight="1" x14ac:dyDescent="0.2">
      <c r="E96" s="3"/>
    </row>
    <row r="97" spans="5:5" ht="12.75" customHeight="1" x14ac:dyDescent="0.2">
      <c r="E97" s="3"/>
    </row>
    <row r="98" spans="5:5" ht="12.75" customHeight="1" x14ac:dyDescent="0.2">
      <c r="E98" s="3"/>
    </row>
    <row r="99" spans="5:5" ht="12.75" customHeight="1" x14ac:dyDescent="0.2">
      <c r="E99" s="3"/>
    </row>
    <row r="100" spans="5:5" ht="12.75" customHeight="1" x14ac:dyDescent="0.2">
      <c r="E100" s="3"/>
    </row>
    <row r="101" spans="5:5" ht="12.75" customHeight="1" x14ac:dyDescent="0.2">
      <c r="E101" s="3"/>
    </row>
    <row r="102" spans="5:5" ht="12.75" customHeight="1" x14ac:dyDescent="0.2">
      <c r="E102" s="3"/>
    </row>
    <row r="103" spans="5:5" ht="12.75" customHeight="1" x14ac:dyDescent="0.2">
      <c r="E103" s="3"/>
    </row>
    <row r="104" spans="5:5" ht="12.75" customHeight="1" x14ac:dyDescent="0.2">
      <c r="E104" s="3"/>
    </row>
    <row r="105" spans="5:5" ht="12.75" customHeight="1" x14ac:dyDescent="0.2">
      <c r="E105" s="3"/>
    </row>
    <row r="106" spans="5:5" ht="12.75" customHeight="1" x14ac:dyDescent="0.2">
      <c r="E106" s="3"/>
    </row>
    <row r="107" spans="5:5" ht="12.75" customHeight="1" x14ac:dyDescent="0.2">
      <c r="E107" s="3"/>
    </row>
    <row r="108" spans="5:5" ht="12.75" customHeight="1" x14ac:dyDescent="0.2">
      <c r="E108" s="3"/>
    </row>
    <row r="109" spans="5:5" ht="12.75" customHeight="1" x14ac:dyDescent="0.2">
      <c r="E109" s="3"/>
    </row>
    <row r="110" spans="5:5" ht="12.75" customHeight="1" x14ac:dyDescent="0.2">
      <c r="E110" s="3"/>
    </row>
    <row r="111" spans="5:5" ht="12.75" customHeight="1" x14ac:dyDescent="0.2">
      <c r="E111" s="3"/>
    </row>
    <row r="112" spans="5:5" ht="12.75" customHeight="1" x14ac:dyDescent="0.2">
      <c r="E112" s="3"/>
    </row>
    <row r="113" spans="5:5" ht="12.75" customHeight="1" x14ac:dyDescent="0.2">
      <c r="E113" s="3"/>
    </row>
    <row r="114" spans="5:5" ht="12.75" customHeight="1" x14ac:dyDescent="0.2">
      <c r="E114" s="3"/>
    </row>
    <row r="115" spans="5:5" ht="12.75" customHeight="1" x14ac:dyDescent="0.2">
      <c r="E115" s="3"/>
    </row>
    <row r="116" spans="5:5" ht="12.75" customHeight="1" x14ac:dyDescent="0.2">
      <c r="E116" s="3"/>
    </row>
    <row r="117" spans="5:5" ht="12.75" customHeight="1" x14ac:dyDescent="0.2">
      <c r="E117" s="3"/>
    </row>
    <row r="118" spans="5:5" ht="12.75" customHeight="1" x14ac:dyDescent="0.2">
      <c r="E118" s="3"/>
    </row>
    <row r="119" spans="5:5" ht="12.75" customHeight="1" x14ac:dyDescent="0.2">
      <c r="E119" s="3"/>
    </row>
    <row r="120" spans="5:5" ht="12.75" customHeight="1" x14ac:dyDescent="0.2">
      <c r="E120" s="3"/>
    </row>
    <row r="121" spans="5:5" ht="12.75" customHeight="1" x14ac:dyDescent="0.2">
      <c r="E121" s="3"/>
    </row>
    <row r="122" spans="5:5" ht="12.75" customHeight="1" x14ac:dyDescent="0.2">
      <c r="E122" s="3"/>
    </row>
    <row r="123" spans="5:5" ht="12.75" customHeight="1" x14ac:dyDescent="0.2">
      <c r="E123" s="3"/>
    </row>
    <row r="124" spans="5:5" ht="12.75" customHeight="1" x14ac:dyDescent="0.2">
      <c r="E124" s="3"/>
    </row>
    <row r="125" spans="5:5" ht="12.75" customHeight="1" x14ac:dyDescent="0.2">
      <c r="E125" s="3"/>
    </row>
    <row r="126" spans="5:5" ht="12.75" customHeight="1" x14ac:dyDescent="0.2">
      <c r="E126" s="3"/>
    </row>
    <row r="127" spans="5:5" ht="12.75" customHeight="1" x14ac:dyDescent="0.2">
      <c r="E127" s="3"/>
    </row>
    <row r="128" spans="5:5" ht="12.75" customHeight="1" x14ac:dyDescent="0.2">
      <c r="E128" s="3"/>
    </row>
    <row r="129" spans="5:5" ht="12.75" customHeight="1" x14ac:dyDescent="0.2">
      <c r="E129" s="3"/>
    </row>
    <row r="130" spans="5:5" ht="12.75" customHeight="1" x14ac:dyDescent="0.2">
      <c r="E130" s="3"/>
    </row>
    <row r="131" spans="5:5" ht="12.75" customHeight="1" x14ac:dyDescent="0.2">
      <c r="E131" s="3"/>
    </row>
    <row r="132" spans="5:5" ht="12.75" customHeight="1" x14ac:dyDescent="0.2">
      <c r="E132" s="3"/>
    </row>
    <row r="133" spans="5:5" ht="12.75" customHeight="1" x14ac:dyDescent="0.2">
      <c r="E133" s="3"/>
    </row>
    <row r="134" spans="5:5" ht="12.75" customHeight="1" x14ac:dyDescent="0.2">
      <c r="E134" s="3"/>
    </row>
    <row r="135" spans="5:5" ht="12.75" customHeight="1" x14ac:dyDescent="0.2">
      <c r="E135" s="3"/>
    </row>
    <row r="136" spans="5:5" ht="12.75" customHeight="1" x14ac:dyDescent="0.2">
      <c r="E136" s="3"/>
    </row>
    <row r="137" spans="5:5" ht="12.75" customHeight="1" x14ac:dyDescent="0.2">
      <c r="E137" s="3"/>
    </row>
    <row r="138" spans="5:5" ht="12.75" customHeight="1" x14ac:dyDescent="0.2">
      <c r="E138" s="3"/>
    </row>
    <row r="139" spans="5:5" ht="12.75" customHeight="1" x14ac:dyDescent="0.2">
      <c r="E139" s="3"/>
    </row>
    <row r="140" spans="5:5" ht="12.75" customHeight="1" x14ac:dyDescent="0.2">
      <c r="E140" s="3"/>
    </row>
    <row r="141" spans="5:5" ht="12.75" customHeight="1" x14ac:dyDescent="0.2">
      <c r="E141" s="3"/>
    </row>
    <row r="142" spans="5:5" ht="12.75" customHeight="1" x14ac:dyDescent="0.2">
      <c r="E142" s="3"/>
    </row>
    <row r="143" spans="5:5" ht="12.75" customHeight="1" x14ac:dyDescent="0.2">
      <c r="E143" s="3"/>
    </row>
    <row r="144" spans="5:5" ht="12.75" customHeight="1" x14ac:dyDescent="0.2">
      <c r="E144" s="3"/>
    </row>
    <row r="145" spans="5:5" ht="12.75" customHeight="1" x14ac:dyDescent="0.2">
      <c r="E145" s="3"/>
    </row>
    <row r="146" spans="5:5" ht="12.75" customHeight="1" x14ac:dyDescent="0.2">
      <c r="E146" s="3"/>
    </row>
    <row r="147" spans="5:5" ht="12.75" customHeight="1" x14ac:dyDescent="0.2">
      <c r="E147" s="3"/>
    </row>
    <row r="148" spans="5:5" ht="12.75" customHeight="1" x14ac:dyDescent="0.2">
      <c r="E148" s="3"/>
    </row>
    <row r="149" spans="5:5" ht="12.75" customHeight="1" x14ac:dyDescent="0.2">
      <c r="E149" s="3"/>
    </row>
    <row r="150" spans="5:5" ht="12.75" customHeight="1" x14ac:dyDescent="0.2">
      <c r="E150" s="3"/>
    </row>
    <row r="151" spans="5:5" ht="12.75" customHeight="1" x14ac:dyDescent="0.2">
      <c r="E151" s="3"/>
    </row>
    <row r="152" spans="5:5" ht="12.75" customHeight="1" x14ac:dyDescent="0.2">
      <c r="E152" s="3"/>
    </row>
    <row r="153" spans="5:5" ht="12.75" customHeight="1" x14ac:dyDescent="0.2">
      <c r="E153" s="3"/>
    </row>
    <row r="154" spans="5:5" ht="12.75" customHeight="1" x14ac:dyDescent="0.2">
      <c r="E154" s="3"/>
    </row>
    <row r="155" spans="5:5" ht="12.75" customHeight="1" x14ac:dyDescent="0.2">
      <c r="E155" s="3"/>
    </row>
    <row r="156" spans="5:5" ht="12.75" customHeight="1" x14ac:dyDescent="0.2">
      <c r="E156" s="3"/>
    </row>
    <row r="157" spans="5:5" ht="12.75" customHeight="1" x14ac:dyDescent="0.2">
      <c r="E157" s="3"/>
    </row>
    <row r="158" spans="5:5" ht="12.75" customHeight="1" x14ac:dyDescent="0.2">
      <c r="E158" s="3"/>
    </row>
    <row r="159" spans="5:5" ht="12.75" customHeight="1" x14ac:dyDescent="0.2">
      <c r="E159" s="3"/>
    </row>
    <row r="160" spans="5:5" ht="12.75" customHeight="1" x14ac:dyDescent="0.2">
      <c r="E160" s="3"/>
    </row>
    <row r="161" spans="5:5" ht="12.75" customHeight="1" x14ac:dyDescent="0.2">
      <c r="E161" s="3"/>
    </row>
    <row r="162" spans="5:5" ht="12.75" customHeight="1" x14ac:dyDescent="0.2">
      <c r="E162" s="3"/>
    </row>
    <row r="163" spans="5:5" ht="12.75" customHeight="1" x14ac:dyDescent="0.2">
      <c r="E163" s="3"/>
    </row>
    <row r="164" spans="5:5" ht="12.75" customHeight="1" x14ac:dyDescent="0.2">
      <c r="E164" s="3"/>
    </row>
    <row r="165" spans="5:5" ht="12.75" customHeight="1" x14ac:dyDescent="0.2">
      <c r="E165" s="3"/>
    </row>
    <row r="166" spans="5:5" ht="12.75" customHeight="1" x14ac:dyDescent="0.2">
      <c r="E166" s="3"/>
    </row>
    <row r="167" spans="5:5" ht="12.75" customHeight="1" x14ac:dyDescent="0.2">
      <c r="E167" s="3"/>
    </row>
    <row r="168" spans="5:5" ht="12.75" customHeight="1" x14ac:dyDescent="0.2">
      <c r="E168" s="3"/>
    </row>
    <row r="169" spans="5:5" ht="12.75" customHeight="1" x14ac:dyDescent="0.2">
      <c r="E169" s="3"/>
    </row>
    <row r="170" spans="5:5" ht="12.75" customHeight="1" x14ac:dyDescent="0.2">
      <c r="E170" s="3"/>
    </row>
    <row r="171" spans="5:5" ht="12.75" customHeight="1" x14ac:dyDescent="0.2">
      <c r="E171" s="3"/>
    </row>
    <row r="172" spans="5:5" ht="12.75" customHeight="1" x14ac:dyDescent="0.2">
      <c r="E172" s="3"/>
    </row>
    <row r="173" spans="5:5" ht="12.75" customHeight="1" x14ac:dyDescent="0.2">
      <c r="E173" s="3"/>
    </row>
    <row r="174" spans="5:5" ht="12.75" customHeight="1" x14ac:dyDescent="0.2">
      <c r="E174" s="3"/>
    </row>
    <row r="175" spans="5:5" ht="12.75" customHeight="1" x14ac:dyDescent="0.2">
      <c r="E175" s="3"/>
    </row>
    <row r="176" spans="5:5" ht="12.75" customHeight="1" x14ac:dyDescent="0.2">
      <c r="E176" s="3"/>
    </row>
    <row r="177" spans="5:5" ht="12.75" customHeight="1" x14ac:dyDescent="0.2">
      <c r="E177" s="3"/>
    </row>
    <row r="178" spans="5:5" ht="12.75" customHeight="1" x14ac:dyDescent="0.2">
      <c r="E178" s="3"/>
    </row>
    <row r="179" spans="5:5" ht="12.75" customHeight="1" x14ac:dyDescent="0.2">
      <c r="E179" s="3"/>
    </row>
    <row r="180" spans="5:5" ht="12.75" customHeight="1" x14ac:dyDescent="0.2">
      <c r="E180" s="3"/>
    </row>
    <row r="181" spans="5:5" ht="12.75" customHeight="1" x14ac:dyDescent="0.2">
      <c r="E181" s="3"/>
    </row>
    <row r="182" spans="5:5" ht="12.75" customHeight="1" x14ac:dyDescent="0.2">
      <c r="E182" s="3"/>
    </row>
    <row r="183" spans="5:5" ht="12.75" customHeight="1" x14ac:dyDescent="0.2">
      <c r="E183" s="3"/>
    </row>
    <row r="184" spans="5:5" ht="12.75" customHeight="1" x14ac:dyDescent="0.2">
      <c r="E184" s="3"/>
    </row>
    <row r="185" spans="5:5" ht="12.75" customHeight="1" x14ac:dyDescent="0.2">
      <c r="E185" s="3"/>
    </row>
    <row r="186" spans="5:5" ht="12.75" customHeight="1" x14ac:dyDescent="0.2">
      <c r="E186" s="3"/>
    </row>
    <row r="187" spans="5:5" ht="12.75" customHeight="1" x14ac:dyDescent="0.2">
      <c r="E187" s="3"/>
    </row>
    <row r="188" spans="5:5" ht="12.75" customHeight="1" x14ac:dyDescent="0.2">
      <c r="E188" s="3"/>
    </row>
    <row r="189" spans="5:5" ht="12.75" customHeight="1" x14ac:dyDescent="0.2">
      <c r="E189" s="3"/>
    </row>
    <row r="190" spans="5:5" ht="12.75" customHeight="1" x14ac:dyDescent="0.2">
      <c r="E190" s="3"/>
    </row>
    <row r="191" spans="5:5" ht="12.75" customHeight="1" x14ac:dyDescent="0.2">
      <c r="E191" s="3"/>
    </row>
    <row r="192" spans="5:5" ht="12.75" customHeight="1" x14ac:dyDescent="0.2">
      <c r="E192" s="3"/>
    </row>
    <row r="193" spans="5:5" ht="12.75" customHeight="1" x14ac:dyDescent="0.2">
      <c r="E193" s="3"/>
    </row>
    <row r="194" spans="5:5" ht="12.75" customHeight="1" x14ac:dyDescent="0.2">
      <c r="E194" s="3"/>
    </row>
    <row r="195" spans="5:5" ht="12.75" customHeight="1" x14ac:dyDescent="0.2">
      <c r="E195" s="3"/>
    </row>
    <row r="196" spans="5:5" ht="12.75" customHeight="1" x14ac:dyDescent="0.2">
      <c r="E196" s="3"/>
    </row>
    <row r="197" spans="5:5" ht="12.75" customHeight="1" x14ac:dyDescent="0.2">
      <c r="E197" s="3"/>
    </row>
    <row r="198" spans="5:5" ht="12.75" customHeight="1" x14ac:dyDescent="0.2">
      <c r="E198" s="3"/>
    </row>
    <row r="199" spans="5:5" ht="12.75" customHeight="1" x14ac:dyDescent="0.2">
      <c r="E199" s="3"/>
    </row>
    <row r="200" spans="5:5" ht="12.75" customHeight="1" x14ac:dyDescent="0.2">
      <c r="E200" s="3"/>
    </row>
    <row r="201" spans="5:5" ht="12.75" customHeight="1" x14ac:dyDescent="0.2">
      <c r="E201" s="3"/>
    </row>
    <row r="202" spans="5:5" ht="12.75" customHeight="1" x14ac:dyDescent="0.2">
      <c r="E202" s="3"/>
    </row>
    <row r="203" spans="5:5" ht="12.75" customHeight="1" x14ac:dyDescent="0.2">
      <c r="E203" s="3"/>
    </row>
    <row r="204" spans="5:5" ht="12.75" customHeight="1" x14ac:dyDescent="0.2">
      <c r="E204" s="3"/>
    </row>
    <row r="205" spans="5:5" ht="12.75" customHeight="1" x14ac:dyDescent="0.2">
      <c r="E205" s="3"/>
    </row>
    <row r="206" spans="5:5" ht="12.75" customHeight="1" x14ac:dyDescent="0.2">
      <c r="E206" s="3"/>
    </row>
    <row r="207" spans="5:5" ht="12.75" customHeight="1" x14ac:dyDescent="0.2">
      <c r="E207" s="3"/>
    </row>
    <row r="208" spans="5:5" ht="12.75" customHeight="1" x14ac:dyDescent="0.2">
      <c r="E208" s="3"/>
    </row>
    <row r="209" spans="5:5" ht="12.75" customHeight="1" x14ac:dyDescent="0.2">
      <c r="E209" s="3"/>
    </row>
    <row r="210" spans="5:5" ht="12.75" customHeight="1" x14ac:dyDescent="0.2">
      <c r="E210" s="3"/>
    </row>
    <row r="211" spans="5:5" ht="12.75" customHeight="1" x14ac:dyDescent="0.2">
      <c r="E211" s="3"/>
    </row>
    <row r="212" spans="5:5" ht="12.75" customHeight="1" x14ac:dyDescent="0.2">
      <c r="E212" s="3"/>
    </row>
    <row r="213" spans="5:5" ht="12.75" customHeight="1" x14ac:dyDescent="0.2">
      <c r="E213" s="3"/>
    </row>
    <row r="214" spans="5:5" ht="12.75" customHeight="1" x14ac:dyDescent="0.2">
      <c r="E214" s="3"/>
    </row>
    <row r="215" spans="5:5" ht="12.75" customHeight="1" x14ac:dyDescent="0.2">
      <c r="E215" s="3"/>
    </row>
    <row r="216" spans="5:5" ht="12.75" customHeight="1" x14ac:dyDescent="0.2">
      <c r="E216" s="3"/>
    </row>
    <row r="217" spans="5:5" ht="12.75" customHeight="1" x14ac:dyDescent="0.2">
      <c r="E217" s="3"/>
    </row>
    <row r="218" spans="5:5" ht="12.75" customHeight="1" x14ac:dyDescent="0.2">
      <c r="E218" s="3"/>
    </row>
    <row r="219" spans="5:5" ht="12.75" customHeight="1" x14ac:dyDescent="0.2">
      <c r="E219" s="3"/>
    </row>
    <row r="220" spans="5:5" ht="12.75" customHeight="1" x14ac:dyDescent="0.2">
      <c r="E220" s="3"/>
    </row>
    <row r="221" spans="5:5" ht="12.75" customHeight="1" x14ac:dyDescent="0.2">
      <c r="E221" s="3"/>
    </row>
    <row r="222" spans="5:5" ht="12.75" customHeight="1" x14ac:dyDescent="0.2">
      <c r="E222" s="3"/>
    </row>
    <row r="223" spans="5:5" ht="12.75" customHeight="1" x14ac:dyDescent="0.2">
      <c r="E223" s="3"/>
    </row>
    <row r="224" spans="5:5" ht="12.75" customHeight="1" x14ac:dyDescent="0.2">
      <c r="E224" s="3"/>
    </row>
    <row r="225" spans="5:5" ht="12.75" customHeight="1" x14ac:dyDescent="0.2">
      <c r="E225" s="3"/>
    </row>
    <row r="226" spans="5:5" ht="12.75" customHeight="1" x14ac:dyDescent="0.2">
      <c r="E226" s="3"/>
    </row>
    <row r="227" spans="5:5" ht="12.75" customHeight="1" x14ac:dyDescent="0.2">
      <c r="E227" s="3"/>
    </row>
    <row r="228" spans="5:5" ht="12.75" customHeight="1" x14ac:dyDescent="0.2">
      <c r="E228" s="3"/>
    </row>
    <row r="229" spans="5:5" ht="12.75" customHeight="1" x14ac:dyDescent="0.2">
      <c r="E229" s="3"/>
    </row>
    <row r="230" spans="5:5" ht="12.75" customHeight="1" x14ac:dyDescent="0.2">
      <c r="E230" s="3"/>
    </row>
    <row r="231" spans="5:5" ht="12.75" customHeight="1" x14ac:dyDescent="0.2">
      <c r="E231" s="3"/>
    </row>
    <row r="232" spans="5:5" ht="12.75" customHeight="1" x14ac:dyDescent="0.2">
      <c r="E232" s="3"/>
    </row>
    <row r="233" spans="5:5" ht="12.75" customHeight="1" x14ac:dyDescent="0.2">
      <c r="E233" s="3"/>
    </row>
    <row r="234" spans="5:5" ht="12.75" customHeight="1" x14ac:dyDescent="0.2">
      <c r="E234" s="3"/>
    </row>
    <row r="235" spans="5:5" ht="12.75" customHeight="1" x14ac:dyDescent="0.2">
      <c r="E235" s="3"/>
    </row>
    <row r="236" spans="5:5" ht="12.75" customHeight="1" x14ac:dyDescent="0.2">
      <c r="E236" s="3"/>
    </row>
    <row r="237" spans="5:5" ht="12.75" customHeight="1" x14ac:dyDescent="0.2">
      <c r="E237" s="3"/>
    </row>
    <row r="238" spans="5:5" ht="12.75" customHeight="1" x14ac:dyDescent="0.2">
      <c r="E238" s="3"/>
    </row>
    <row r="239" spans="5:5" ht="12.75" customHeight="1" x14ac:dyDescent="0.2">
      <c r="E239" s="3"/>
    </row>
    <row r="240" spans="5:5" ht="12.75" customHeight="1" x14ac:dyDescent="0.2">
      <c r="E240" s="3"/>
    </row>
    <row r="241" spans="5:5" ht="12.75" customHeight="1" x14ac:dyDescent="0.2">
      <c r="E241" s="3"/>
    </row>
    <row r="242" spans="5:5" ht="12.75" customHeight="1" x14ac:dyDescent="0.2">
      <c r="E242" s="3"/>
    </row>
    <row r="243" spans="5:5" ht="12.75" customHeight="1" x14ac:dyDescent="0.2">
      <c r="E243" s="3"/>
    </row>
    <row r="244" spans="5:5" ht="12.75" customHeight="1" x14ac:dyDescent="0.2">
      <c r="E244" s="3"/>
    </row>
    <row r="245" spans="5:5" ht="12.75" customHeight="1" x14ac:dyDescent="0.2">
      <c r="E245" s="3"/>
    </row>
    <row r="246" spans="5:5" ht="12.75" customHeight="1" x14ac:dyDescent="0.2">
      <c r="E246" s="3"/>
    </row>
    <row r="247" spans="5:5" ht="12.75" customHeight="1" x14ac:dyDescent="0.2">
      <c r="E247" s="3"/>
    </row>
    <row r="248" spans="5:5" ht="12.75" customHeight="1" x14ac:dyDescent="0.2">
      <c r="E248" s="3"/>
    </row>
    <row r="249" spans="5:5" ht="12.75" customHeight="1" x14ac:dyDescent="0.2">
      <c r="E249" s="3"/>
    </row>
    <row r="250" spans="5:5" ht="12.75" customHeight="1" x14ac:dyDescent="0.2">
      <c r="E250" s="3"/>
    </row>
    <row r="251" spans="5:5" ht="12.75" customHeight="1" x14ac:dyDescent="0.2">
      <c r="E251" s="3"/>
    </row>
    <row r="252" spans="5:5" ht="12.75" customHeight="1" x14ac:dyDescent="0.2">
      <c r="E252" s="3"/>
    </row>
    <row r="253" spans="5:5" ht="12.75" customHeight="1" x14ac:dyDescent="0.2">
      <c r="E253" s="3"/>
    </row>
    <row r="254" spans="5:5" ht="12.75" customHeight="1" x14ac:dyDescent="0.2">
      <c r="E254" s="3"/>
    </row>
    <row r="255" spans="5:5" ht="12.75" customHeight="1" x14ac:dyDescent="0.2">
      <c r="E255" s="3"/>
    </row>
    <row r="256" spans="5:5" ht="12.75" customHeight="1" x14ac:dyDescent="0.2">
      <c r="E256" s="3"/>
    </row>
    <row r="257" spans="5:5" ht="12.75" customHeight="1" x14ac:dyDescent="0.2">
      <c r="E257" s="3"/>
    </row>
    <row r="258" spans="5:5" ht="12.75" customHeight="1" x14ac:dyDescent="0.2">
      <c r="E258" s="3"/>
    </row>
    <row r="259" spans="5:5" ht="12.75" customHeight="1" x14ac:dyDescent="0.2">
      <c r="E259" s="3"/>
    </row>
    <row r="260" spans="5:5" ht="12.75" customHeight="1" x14ac:dyDescent="0.2">
      <c r="E260" s="3"/>
    </row>
    <row r="261" spans="5:5" ht="12.75" customHeight="1" x14ac:dyDescent="0.2">
      <c r="E261" s="3"/>
    </row>
    <row r="262" spans="5:5" ht="12.75" customHeight="1" x14ac:dyDescent="0.2">
      <c r="E262" s="3"/>
    </row>
    <row r="263" spans="5:5" ht="12.75" customHeight="1" x14ac:dyDescent="0.2">
      <c r="E263" s="3"/>
    </row>
    <row r="264" spans="5:5" ht="12.75" customHeight="1" x14ac:dyDescent="0.2">
      <c r="E264" s="3"/>
    </row>
    <row r="265" spans="5:5" ht="12.75" customHeight="1" x14ac:dyDescent="0.2">
      <c r="E265" s="3"/>
    </row>
    <row r="266" spans="5:5" ht="12.75" customHeight="1" x14ac:dyDescent="0.2">
      <c r="E266" s="3"/>
    </row>
    <row r="267" spans="5:5" ht="12.75" customHeight="1" x14ac:dyDescent="0.2">
      <c r="E267" s="3"/>
    </row>
    <row r="268" spans="5:5" ht="12.75" customHeight="1" x14ac:dyDescent="0.2">
      <c r="E268" s="3"/>
    </row>
    <row r="269" spans="5:5" ht="12.75" customHeight="1" x14ac:dyDescent="0.2">
      <c r="E269" s="3"/>
    </row>
    <row r="270" spans="5:5" ht="12.75" customHeight="1" x14ac:dyDescent="0.2">
      <c r="E270" s="3"/>
    </row>
    <row r="271" spans="5:5" ht="12.75" customHeight="1" x14ac:dyDescent="0.2">
      <c r="E271" s="3"/>
    </row>
    <row r="272" spans="5:5" ht="12.75" customHeight="1" x14ac:dyDescent="0.2">
      <c r="E272" s="3"/>
    </row>
    <row r="273" spans="5:5" ht="12.75" customHeight="1" x14ac:dyDescent="0.2">
      <c r="E273" s="3"/>
    </row>
    <row r="274" spans="5:5" ht="12.75" customHeight="1" x14ac:dyDescent="0.2">
      <c r="E274" s="3"/>
    </row>
    <row r="275" spans="5:5" ht="12.75" customHeight="1" x14ac:dyDescent="0.2">
      <c r="E275" s="3"/>
    </row>
    <row r="276" spans="5:5" ht="12.75" customHeight="1" x14ac:dyDescent="0.2">
      <c r="E276" s="3"/>
    </row>
    <row r="277" spans="5:5" ht="12.75" customHeight="1" x14ac:dyDescent="0.2">
      <c r="E277" s="3"/>
    </row>
    <row r="278" spans="5:5" ht="12.75" customHeight="1" x14ac:dyDescent="0.2">
      <c r="E278" s="3"/>
    </row>
    <row r="279" spans="5:5" ht="12.75" customHeight="1" x14ac:dyDescent="0.2">
      <c r="E279" s="3"/>
    </row>
    <row r="280" spans="5:5" ht="12.75" customHeight="1" x14ac:dyDescent="0.2">
      <c r="E280" s="3"/>
    </row>
    <row r="281" spans="5:5" ht="12.75" customHeight="1" x14ac:dyDescent="0.2">
      <c r="E281" s="3"/>
    </row>
    <row r="282" spans="5:5" ht="12.75" customHeight="1" x14ac:dyDescent="0.2">
      <c r="E282" s="3"/>
    </row>
    <row r="283" spans="5:5" ht="12.75" customHeight="1" x14ac:dyDescent="0.2">
      <c r="E283" s="3"/>
    </row>
    <row r="284" spans="5:5" ht="12.75" customHeight="1" x14ac:dyDescent="0.2">
      <c r="E284" s="3"/>
    </row>
    <row r="285" spans="5:5" ht="12.75" customHeight="1" x14ac:dyDescent="0.2">
      <c r="E285" s="3"/>
    </row>
    <row r="286" spans="5:5" ht="12.75" customHeight="1" x14ac:dyDescent="0.2">
      <c r="E286" s="3"/>
    </row>
    <row r="287" spans="5:5" ht="12.75" customHeight="1" x14ac:dyDescent="0.2">
      <c r="E287" s="3"/>
    </row>
    <row r="288" spans="5:5" ht="12.75" customHeight="1" x14ac:dyDescent="0.2">
      <c r="E288" s="3"/>
    </row>
    <row r="289" spans="5:5" ht="12.75" customHeight="1" x14ac:dyDescent="0.2">
      <c r="E289" s="3"/>
    </row>
    <row r="290" spans="5:5" ht="12.75" customHeight="1" x14ac:dyDescent="0.2">
      <c r="E290" s="3"/>
    </row>
    <row r="291" spans="5:5" ht="12.75" customHeight="1" x14ac:dyDescent="0.2">
      <c r="E291" s="3"/>
    </row>
    <row r="292" spans="5:5" ht="12.75" customHeight="1" x14ac:dyDescent="0.2">
      <c r="E292" s="3"/>
    </row>
    <row r="293" spans="5:5" ht="12.75" customHeight="1" x14ac:dyDescent="0.2">
      <c r="E293" s="3"/>
    </row>
    <row r="294" spans="5:5" ht="12.75" customHeight="1" x14ac:dyDescent="0.2">
      <c r="E294" s="3"/>
    </row>
    <row r="295" spans="5:5" ht="12.75" customHeight="1" x14ac:dyDescent="0.2">
      <c r="E295" s="3"/>
    </row>
    <row r="296" spans="5:5" ht="12.75" customHeight="1" x14ac:dyDescent="0.2">
      <c r="E296" s="3"/>
    </row>
    <row r="297" spans="5:5" ht="12.75" customHeight="1" x14ac:dyDescent="0.2">
      <c r="E297" s="3"/>
    </row>
    <row r="298" spans="5:5" ht="12.75" customHeight="1" x14ac:dyDescent="0.2">
      <c r="E298" s="3"/>
    </row>
    <row r="299" spans="5:5" ht="12.75" customHeight="1" x14ac:dyDescent="0.2">
      <c r="E299" s="3"/>
    </row>
    <row r="300" spans="5:5" ht="12.75" customHeight="1" x14ac:dyDescent="0.2">
      <c r="E300" s="3"/>
    </row>
    <row r="301" spans="5:5" ht="12.75" customHeight="1" x14ac:dyDescent="0.2">
      <c r="E301" s="3"/>
    </row>
    <row r="302" spans="5:5" ht="12.75" customHeight="1" x14ac:dyDescent="0.2">
      <c r="E302" s="3"/>
    </row>
    <row r="303" spans="5:5" ht="12.75" customHeight="1" x14ac:dyDescent="0.2">
      <c r="E303" s="3"/>
    </row>
    <row r="304" spans="5:5" ht="12.75" customHeight="1" x14ac:dyDescent="0.2">
      <c r="E304" s="3"/>
    </row>
    <row r="305" spans="5:5" ht="12.75" customHeight="1" x14ac:dyDescent="0.2">
      <c r="E305" s="3"/>
    </row>
    <row r="306" spans="5:5" ht="12.75" customHeight="1" x14ac:dyDescent="0.2">
      <c r="E306" s="3"/>
    </row>
    <row r="307" spans="5:5" ht="12.75" customHeight="1" x14ac:dyDescent="0.2">
      <c r="E307" s="3"/>
    </row>
    <row r="308" spans="5:5" ht="12.75" customHeight="1" x14ac:dyDescent="0.2">
      <c r="E308" s="3"/>
    </row>
    <row r="309" spans="5:5" ht="12.75" customHeight="1" x14ac:dyDescent="0.2">
      <c r="E309" s="3"/>
    </row>
    <row r="310" spans="5:5" ht="12.75" customHeight="1" x14ac:dyDescent="0.2">
      <c r="E310" s="3"/>
    </row>
    <row r="311" spans="5:5" ht="12.75" customHeight="1" x14ac:dyDescent="0.2">
      <c r="E311" s="3"/>
    </row>
    <row r="312" spans="5:5" ht="12.75" customHeight="1" x14ac:dyDescent="0.2">
      <c r="E312" s="3"/>
    </row>
    <row r="313" spans="5:5" ht="12.75" customHeight="1" x14ac:dyDescent="0.2">
      <c r="E313" s="3"/>
    </row>
    <row r="314" spans="5:5" ht="12.75" customHeight="1" x14ac:dyDescent="0.2">
      <c r="E314" s="3"/>
    </row>
    <row r="315" spans="5:5" ht="12.75" customHeight="1" x14ac:dyDescent="0.2">
      <c r="E315" s="3"/>
    </row>
    <row r="316" spans="5:5" ht="12.75" customHeight="1" x14ac:dyDescent="0.2">
      <c r="E316" s="3"/>
    </row>
    <row r="317" spans="5:5" ht="12.75" customHeight="1" x14ac:dyDescent="0.2">
      <c r="E317" s="3"/>
    </row>
    <row r="318" spans="5:5" ht="12.75" customHeight="1" x14ac:dyDescent="0.2">
      <c r="E318" s="3"/>
    </row>
    <row r="319" spans="5:5" ht="12.75" customHeight="1" x14ac:dyDescent="0.2">
      <c r="E319" s="3"/>
    </row>
    <row r="320" spans="5:5" ht="12.75" customHeight="1" x14ac:dyDescent="0.2">
      <c r="E320" s="3"/>
    </row>
    <row r="321" spans="5:5" ht="12.75" customHeight="1" x14ac:dyDescent="0.2">
      <c r="E321" s="3"/>
    </row>
    <row r="322" spans="5:5" ht="12.75" customHeight="1" x14ac:dyDescent="0.2">
      <c r="E322" s="3"/>
    </row>
    <row r="323" spans="5:5" ht="12.75" customHeight="1" x14ac:dyDescent="0.2">
      <c r="E323" s="3"/>
    </row>
    <row r="324" spans="5:5" ht="12.75" customHeight="1" x14ac:dyDescent="0.2">
      <c r="E324" s="3"/>
    </row>
    <row r="325" spans="5:5" ht="12.75" customHeight="1" x14ac:dyDescent="0.2">
      <c r="E325" s="3"/>
    </row>
    <row r="326" spans="5:5" ht="12.75" customHeight="1" x14ac:dyDescent="0.2">
      <c r="E326" s="3"/>
    </row>
    <row r="327" spans="5:5" ht="12.75" customHeight="1" x14ac:dyDescent="0.2">
      <c r="E327" s="3"/>
    </row>
    <row r="328" spans="5:5" ht="12.75" customHeight="1" x14ac:dyDescent="0.2">
      <c r="E328" s="3"/>
    </row>
    <row r="329" spans="5:5" ht="12.75" customHeight="1" x14ac:dyDescent="0.2">
      <c r="E329" s="3"/>
    </row>
    <row r="330" spans="5:5" ht="12.75" customHeight="1" x14ac:dyDescent="0.2">
      <c r="E330" s="3"/>
    </row>
    <row r="331" spans="5:5" ht="12.75" customHeight="1" x14ac:dyDescent="0.2">
      <c r="E331" s="3"/>
    </row>
    <row r="332" spans="5:5" ht="12.75" customHeight="1" x14ac:dyDescent="0.2">
      <c r="E332" s="3"/>
    </row>
    <row r="333" spans="5:5" ht="12.75" customHeight="1" x14ac:dyDescent="0.2">
      <c r="E333" s="3"/>
    </row>
    <row r="334" spans="5:5" ht="12.75" customHeight="1" x14ac:dyDescent="0.2">
      <c r="E334" s="3"/>
    </row>
    <row r="335" spans="5:5" ht="12.75" customHeight="1" x14ac:dyDescent="0.2">
      <c r="E335" s="3"/>
    </row>
    <row r="336" spans="5:5" ht="12.75" customHeight="1" x14ac:dyDescent="0.2">
      <c r="E336" s="3"/>
    </row>
    <row r="337" spans="5:5" ht="12.75" customHeight="1" x14ac:dyDescent="0.2">
      <c r="E337" s="3"/>
    </row>
    <row r="338" spans="5:5" ht="12.75" customHeight="1" x14ac:dyDescent="0.2">
      <c r="E338" s="3"/>
    </row>
    <row r="339" spans="5:5" ht="12.75" customHeight="1" x14ac:dyDescent="0.2">
      <c r="E339" s="3"/>
    </row>
    <row r="340" spans="5:5" ht="12.75" customHeight="1" x14ac:dyDescent="0.2">
      <c r="E340" s="3"/>
    </row>
    <row r="341" spans="5:5" ht="12.75" customHeight="1" x14ac:dyDescent="0.2">
      <c r="E341" s="3"/>
    </row>
    <row r="342" spans="5:5" ht="12.75" customHeight="1" x14ac:dyDescent="0.2">
      <c r="E342" s="3"/>
    </row>
    <row r="343" spans="5:5" ht="12.75" customHeight="1" x14ac:dyDescent="0.2">
      <c r="E343" s="3"/>
    </row>
    <row r="344" spans="5:5" ht="12.75" customHeight="1" x14ac:dyDescent="0.2">
      <c r="E344" s="3"/>
    </row>
    <row r="345" spans="5:5" ht="12.75" customHeight="1" x14ac:dyDescent="0.2">
      <c r="E345" s="3"/>
    </row>
    <row r="346" spans="5:5" ht="12.75" customHeight="1" x14ac:dyDescent="0.2">
      <c r="E346" s="3"/>
    </row>
    <row r="347" spans="5:5" ht="12.75" customHeight="1" x14ac:dyDescent="0.2">
      <c r="E347" s="3"/>
    </row>
    <row r="348" spans="5:5" ht="12.75" customHeight="1" x14ac:dyDescent="0.2">
      <c r="E348" s="3"/>
    </row>
    <row r="349" spans="5:5" ht="12.75" customHeight="1" x14ac:dyDescent="0.2">
      <c r="E349" s="3"/>
    </row>
    <row r="350" spans="5:5" ht="12.75" customHeight="1" x14ac:dyDescent="0.2">
      <c r="E350" s="3"/>
    </row>
    <row r="351" spans="5:5" ht="12.75" customHeight="1" x14ac:dyDescent="0.2">
      <c r="E351" s="3"/>
    </row>
    <row r="352" spans="5:5" ht="12.75" customHeight="1" x14ac:dyDescent="0.2">
      <c r="E352" s="3"/>
    </row>
    <row r="353" spans="5:5" ht="12.75" customHeight="1" x14ac:dyDescent="0.2">
      <c r="E353" s="3"/>
    </row>
    <row r="354" spans="5:5" ht="12.75" customHeight="1" x14ac:dyDescent="0.2">
      <c r="E354" s="3"/>
    </row>
    <row r="355" spans="5:5" ht="12.75" customHeight="1" x14ac:dyDescent="0.2">
      <c r="E355" s="3"/>
    </row>
    <row r="356" spans="5:5" ht="12.75" customHeight="1" x14ac:dyDescent="0.2">
      <c r="E356" s="3"/>
    </row>
    <row r="357" spans="5:5" ht="12.75" customHeight="1" x14ac:dyDescent="0.2">
      <c r="E357" s="3"/>
    </row>
    <row r="358" spans="5:5" ht="12.75" customHeight="1" x14ac:dyDescent="0.2">
      <c r="E358" s="3"/>
    </row>
    <row r="359" spans="5:5" ht="12.75" customHeight="1" x14ac:dyDescent="0.2">
      <c r="E359" s="3"/>
    </row>
    <row r="360" spans="5:5" ht="12.75" customHeight="1" x14ac:dyDescent="0.2">
      <c r="E360" s="3"/>
    </row>
    <row r="361" spans="5:5" ht="12.75" customHeight="1" x14ac:dyDescent="0.2">
      <c r="E361" s="3"/>
    </row>
    <row r="362" spans="5:5" ht="12.75" customHeight="1" x14ac:dyDescent="0.2">
      <c r="E362" s="3"/>
    </row>
    <row r="363" spans="5:5" ht="12.75" customHeight="1" x14ac:dyDescent="0.2">
      <c r="E363" s="3"/>
    </row>
    <row r="364" spans="5:5" ht="12.75" customHeight="1" x14ac:dyDescent="0.2">
      <c r="E364" s="3"/>
    </row>
    <row r="365" spans="5:5" ht="12.75" customHeight="1" x14ac:dyDescent="0.2">
      <c r="E365" s="3"/>
    </row>
    <row r="366" spans="5:5" ht="12.75" customHeight="1" x14ac:dyDescent="0.2">
      <c r="E366" s="3"/>
    </row>
    <row r="367" spans="5:5" ht="12.75" customHeight="1" x14ac:dyDescent="0.2">
      <c r="E367" s="3"/>
    </row>
    <row r="368" spans="5:5" ht="12.75" customHeight="1" x14ac:dyDescent="0.2">
      <c r="E368" s="3"/>
    </row>
    <row r="369" spans="5:5" ht="12.75" customHeight="1" x14ac:dyDescent="0.2">
      <c r="E369" s="3"/>
    </row>
    <row r="370" spans="5:5" ht="12.75" customHeight="1" x14ac:dyDescent="0.2">
      <c r="E370" s="3"/>
    </row>
    <row r="371" spans="5:5" ht="12.75" customHeight="1" x14ac:dyDescent="0.2">
      <c r="E371" s="3"/>
    </row>
    <row r="372" spans="5:5" ht="12.75" customHeight="1" x14ac:dyDescent="0.2">
      <c r="E372" s="3"/>
    </row>
    <row r="373" spans="5:5" ht="12.75" customHeight="1" x14ac:dyDescent="0.2">
      <c r="E373" s="3"/>
    </row>
    <row r="374" spans="5:5" ht="12.75" customHeight="1" x14ac:dyDescent="0.2">
      <c r="E374" s="3"/>
    </row>
    <row r="375" spans="5:5" ht="12.75" customHeight="1" x14ac:dyDescent="0.2">
      <c r="E375" s="3"/>
    </row>
    <row r="376" spans="5:5" ht="12.75" customHeight="1" x14ac:dyDescent="0.2">
      <c r="E376" s="3"/>
    </row>
    <row r="377" spans="5:5" ht="12.75" customHeight="1" x14ac:dyDescent="0.2">
      <c r="E377" s="3"/>
    </row>
    <row r="378" spans="5:5" ht="12.75" customHeight="1" x14ac:dyDescent="0.2">
      <c r="E378" s="3"/>
    </row>
    <row r="379" spans="5:5" ht="12.75" customHeight="1" x14ac:dyDescent="0.2">
      <c r="E379" s="3"/>
    </row>
    <row r="380" spans="5:5" ht="12.75" customHeight="1" x14ac:dyDescent="0.2">
      <c r="E380" s="3"/>
    </row>
    <row r="381" spans="5:5" ht="12.75" customHeight="1" x14ac:dyDescent="0.2">
      <c r="E381" s="3"/>
    </row>
    <row r="382" spans="5:5" ht="12.75" customHeight="1" x14ac:dyDescent="0.2">
      <c r="E382" s="3"/>
    </row>
    <row r="383" spans="5:5" ht="12.75" customHeight="1" x14ac:dyDescent="0.2">
      <c r="E383" s="3"/>
    </row>
    <row r="384" spans="5:5" ht="12.75" customHeight="1" x14ac:dyDescent="0.2">
      <c r="E384" s="3"/>
    </row>
    <row r="385" spans="5:5" ht="12.75" customHeight="1" x14ac:dyDescent="0.2">
      <c r="E385" s="3"/>
    </row>
    <row r="386" spans="5:5" ht="12.75" customHeight="1" x14ac:dyDescent="0.2">
      <c r="E386" s="3"/>
    </row>
    <row r="387" spans="5:5" ht="12.75" customHeight="1" x14ac:dyDescent="0.2">
      <c r="E387" s="3"/>
    </row>
    <row r="388" spans="5:5" ht="12.75" customHeight="1" x14ac:dyDescent="0.2">
      <c r="E388" s="3"/>
    </row>
    <row r="389" spans="5:5" ht="12.75" customHeight="1" x14ac:dyDescent="0.2">
      <c r="E389" s="3"/>
    </row>
    <row r="390" spans="5:5" ht="12.75" customHeight="1" x14ac:dyDescent="0.2">
      <c r="E390" s="3"/>
    </row>
    <row r="391" spans="5:5" ht="12.75" customHeight="1" x14ac:dyDescent="0.2">
      <c r="E391" s="3"/>
    </row>
    <row r="392" spans="5:5" ht="12.75" customHeight="1" x14ac:dyDescent="0.2">
      <c r="E392" s="3"/>
    </row>
    <row r="393" spans="5:5" ht="12.75" customHeight="1" x14ac:dyDescent="0.2">
      <c r="E393" s="3"/>
    </row>
    <row r="394" spans="5:5" ht="12.75" customHeight="1" x14ac:dyDescent="0.2">
      <c r="E394" s="3"/>
    </row>
    <row r="395" spans="5:5" ht="12.75" customHeight="1" x14ac:dyDescent="0.2">
      <c r="E395" s="3"/>
    </row>
    <row r="396" spans="5:5" ht="12.75" customHeight="1" x14ac:dyDescent="0.2">
      <c r="E396" s="3"/>
    </row>
    <row r="397" spans="5:5" ht="12.75" customHeight="1" x14ac:dyDescent="0.2">
      <c r="E397" s="3"/>
    </row>
    <row r="398" spans="5:5" ht="12.75" customHeight="1" x14ac:dyDescent="0.2">
      <c r="E398" s="3"/>
    </row>
    <row r="399" spans="5:5" ht="12.75" customHeight="1" x14ac:dyDescent="0.2">
      <c r="E399" s="3"/>
    </row>
    <row r="400" spans="5:5" ht="12.75" customHeight="1" x14ac:dyDescent="0.2">
      <c r="E400" s="3"/>
    </row>
    <row r="401" spans="5:5" ht="12.75" customHeight="1" x14ac:dyDescent="0.2">
      <c r="E401" s="3"/>
    </row>
    <row r="402" spans="5:5" ht="12.75" customHeight="1" x14ac:dyDescent="0.2">
      <c r="E402" s="3"/>
    </row>
    <row r="403" spans="5:5" ht="12.75" customHeight="1" x14ac:dyDescent="0.2">
      <c r="E403" s="3"/>
    </row>
    <row r="404" spans="5:5" ht="12.75" customHeight="1" x14ac:dyDescent="0.2">
      <c r="E404" s="3"/>
    </row>
    <row r="405" spans="5:5" ht="12.75" customHeight="1" x14ac:dyDescent="0.2">
      <c r="E405" s="3"/>
    </row>
    <row r="406" spans="5:5" ht="12.75" customHeight="1" x14ac:dyDescent="0.2">
      <c r="E406" s="3"/>
    </row>
    <row r="407" spans="5:5" ht="12.75" customHeight="1" x14ac:dyDescent="0.2">
      <c r="E407" s="3"/>
    </row>
    <row r="408" spans="5:5" ht="12.75" customHeight="1" x14ac:dyDescent="0.2">
      <c r="E408" s="3"/>
    </row>
    <row r="409" spans="5:5" ht="12.75" customHeight="1" x14ac:dyDescent="0.2">
      <c r="E409" s="3"/>
    </row>
    <row r="410" spans="5:5" ht="12.75" customHeight="1" x14ac:dyDescent="0.2">
      <c r="E410" s="3"/>
    </row>
    <row r="411" spans="5:5" ht="12.75" customHeight="1" x14ac:dyDescent="0.2">
      <c r="E411" s="3"/>
    </row>
    <row r="412" spans="5:5" ht="12.75" customHeight="1" x14ac:dyDescent="0.2">
      <c r="E412" s="3"/>
    </row>
    <row r="413" spans="5:5" ht="12.75" customHeight="1" x14ac:dyDescent="0.2">
      <c r="E413" s="3"/>
    </row>
    <row r="414" spans="5:5" ht="12.75" customHeight="1" x14ac:dyDescent="0.2">
      <c r="E414" s="3"/>
    </row>
    <row r="415" spans="5:5" ht="12.75" customHeight="1" x14ac:dyDescent="0.2">
      <c r="E415" s="3"/>
    </row>
    <row r="416" spans="5:5" ht="12.75" customHeight="1" x14ac:dyDescent="0.2">
      <c r="E416" s="3"/>
    </row>
    <row r="417" spans="5:5" ht="12.75" customHeight="1" x14ac:dyDescent="0.2">
      <c r="E417" s="3"/>
    </row>
    <row r="418" spans="5:5" ht="12.75" customHeight="1" x14ac:dyDescent="0.2">
      <c r="E418" s="3"/>
    </row>
    <row r="419" spans="5:5" ht="12.75" customHeight="1" x14ac:dyDescent="0.2">
      <c r="E419" s="3"/>
    </row>
    <row r="420" spans="5:5" ht="12.75" customHeight="1" x14ac:dyDescent="0.2">
      <c r="E420" s="3"/>
    </row>
    <row r="421" spans="5:5" ht="12.75" customHeight="1" x14ac:dyDescent="0.2">
      <c r="E421" s="3"/>
    </row>
    <row r="422" spans="5:5" ht="12.75" customHeight="1" x14ac:dyDescent="0.2">
      <c r="E422" s="3"/>
    </row>
    <row r="423" spans="5:5" ht="12.75" customHeight="1" x14ac:dyDescent="0.2">
      <c r="E423" s="3"/>
    </row>
    <row r="424" spans="5:5" ht="12.75" customHeight="1" x14ac:dyDescent="0.2">
      <c r="E424" s="3"/>
    </row>
    <row r="425" spans="5:5" ht="12.75" customHeight="1" x14ac:dyDescent="0.2">
      <c r="E425" s="3"/>
    </row>
    <row r="426" spans="5:5" ht="12.75" customHeight="1" x14ac:dyDescent="0.2">
      <c r="E426" s="3"/>
    </row>
    <row r="427" spans="5:5" ht="12.75" customHeight="1" x14ac:dyDescent="0.2">
      <c r="E427" s="3"/>
    </row>
    <row r="428" spans="5:5" ht="12.75" customHeight="1" x14ac:dyDescent="0.2">
      <c r="E428" s="3"/>
    </row>
    <row r="429" spans="5:5" ht="12.75" customHeight="1" x14ac:dyDescent="0.2">
      <c r="E429" s="3"/>
    </row>
    <row r="430" spans="5:5" ht="12.75" customHeight="1" x14ac:dyDescent="0.2">
      <c r="E430" s="3"/>
    </row>
    <row r="431" spans="5:5" ht="12.75" customHeight="1" x14ac:dyDescent="0.2">
      <c r="E431" s="3"/>
    </row>
    <row r="432" spans="5:5" ht="12.75" customHeight="1" x14ac:dyDescent="0.2">
      <c r="E432" s="3"/>
    </row>
    <row r="433" spans="5:5" ht="12.75" customHeight="1" x14ac:dyDescent="0.2">
      <c r="E433" s="3"/>
    </row>
    <row r="434" spans="5:5" ht="12.75" customHeight="1" x14ac:dyDescent="0.2">
      <c r="E434" s="3"/>
    </row>
    <row r="435" spans="5:5" ht="12.75" customHeight="1" x14ac:dyDescent="0.2">
      <c r="E435" s="3"/>
    </row>
    <row r="436" spans="5:5" ht="12.75" customHeight="1" x14ac:dyDescent="0.2">
      <c r="E436" s="3"/>
    </row>
    <row r="437" spans="5:5" ht="12.75" customHeight="1" x14ac:dyDescent="0.2">
      <c r="E437" s="3"/>
    </row>
    <row r="438" spans="5:5" ht="12.75" customHeight="1" x14ac:dyDescent="0.2">
      <c r="E438" s="3"/>
    </row>
    <row r="439" spans="5:5" ht="12.75" customHeight="1" x14ac:dyDescent="0.2">
      <c r="E439" s="3"/>
    </row>
    <row r="440" spans="5:5" ht="12.75" customHeight="1" x14ac:dyDescent="0.2">
      <c r="E440" s="3"/>
    </row>
    <row r="441" spans="5:5" ht="12.75" customHeight="1" x14ac:dyDescent="0.2">
      <c r="E441" s="3"/>
    </row>
    <row r="442" spans="5:5" ht="12.75" customHeight="1" x14ac:dyDescent="0.2">
      <c r="E442" s="3"/>
    </row>
    <row r="443" spans="5:5" ht="12.75" customHeight="1" x14ac:dyDescent="0.2">
      <c r="E443" s="3"/>
    </row>
    <row r="444" spans="5:5" ht="12.75" customHeight="1" x14ac:dyDescent="0.2">
      <c r="E444" s="3"/>
    </row>
    <row r="445" spans="5:5" ht="12.75" customHeight="1" x14ac:dyDescent="0.2">
      <c r="E445" s="3"/>
    </row>
    <row r="446" spans="5:5" ht="12.75" customHeight="1" x14ac:dyDescent="0.2">
      <c r="E446" s="3"/>
    </row>
    <row r="447" spans="5:5" ht="12.75" customHeight="1" x14ac:dyDescent="0.2">
      <c r="E447" s="3"/>
    </row>
    <row r="448" spans="5:5" ht="12.75" customHeight="1" x14ac:dyDescent="0.2">
      <c r="E448" s="3"/>
    </row>
    <row r="449" spans="5:5" ht="12.75" customHeight="1" x14ac:dyDescent="0.2">
      <c r="E449" s="3"/>
    </row>
    <row r="450" spans="5:5" ht="12.75" customHeight="1" x14ac:dyDescent="0.2">
      <c r="E450" s="3"/>
    </row>
    <row r="451" spans="5:5" ht="12.75" customHeight="1" x14ac:dyDescent="0.2">
      <c r="E451" s="3"/>
    </row>
    <row r="452" spans="5:5" ht="12.75" customHeight="1" x14ac:dyDescent="0.2">
      <c r="E452" s="3"/>
    </row>
    <row r="453" spans="5:5" ht="12.75" customHeight="1" x14ac:dyDescent="0.2">
      <c r="E453" s="3"/>
    </row>
    <row r="454" spans="5:5" ht="12.75" customHeight="1" x14ac:dyDescent="0.2">
      <c r="E454" s="3"/>
    </row>
    <row r="455" spans="5:5" ht="12.75" customHeight="1" x14ac:dyDescent="0.2">
      <c r="E455" s="3"/>
    </row>
    <row r="456" spans="5:5" ht="12.75" customHeight="1" x14ac:dyDescent="0.2">
      <c r="E456" s="3"/>
    </row>
    <row r="457" spans="5:5" ht="12.75" customHeight="1" x14ac:dyDescent="0.2">
      <c r="E457" s="3"/>
    </row>
    <row r="458" spans="5:5" ht="12.75" customHeight="1" x14ac:dyDescent="0.2">
      <c r="E458" s="3"/>
    </row>
    <row r="459" spans="5:5" ht="12.75" customHeight="1" x14ac:dyDescent="0.2">
      <c r="E459" s="3"/>
    </row>
    <row r="460" spans="5:5" ht="12.75" customHeight="1" x14ac:dyDescent="0.2">
      <c r="E460" s="3"/>
    </row>
    <row r="461" spans="5:5" ht="12.75" customHeight="1" x14ac:dyDescent="0.2">
      <c r="E461" s="3"/>
    </row>
    <row r="462" spans="5:5" ht="12.75" customHeight="1" x14ac:dyDescent="0.2">
      <c r="E462" s="3"/>
    </row>
    <row r="463" spans="5:5" ht="12.75" customHeight="1" x14ac:dyDescent="0.2">
      <c r="E463" s="3"/>
    </row>
    <row r="464" spans="5:5" ht="12.75" customHeight="1" x14ac:dyDescent="0.2">
      <c r="E464" s="3"/>
    </row>
    <row r="465" spans="5:5" ht="12.75" customHeight="1" x14ac:dyDescent="0.2">
      <c r="E465" s="3"/>
    </row>
    <row r="466" spans="5:5" ht="12.75" customHeight="1" x14ac:dyDescent="0.2">
      <c r="E466" s="3"/>
    </row>
    <row r="467" spans="5:5" ht="12.75" customHeight="1" x14ac:dyDescent="0.2">
      <c r="E467" s="3"/>
    </row>
    <row r="468" spans="5:5" ht="12.75" customHeight="1" x14ac:dyDescent="0.2">
      <c r="E468" s="3"/>
    </row>
    <row r="469" spans="5:5" ht="12.75" customHeight="1" x14ac:dyDescent="0.2">
      <c r="E469" s="3"/>
    </row>
    <row r="470" spans="5:5" ht="12.75" customHeight="1" x14ac:dyDescent="0.2">
      <c r="E470" s="3"/>
    </row>
    <row r="471" spans="5:5" ht="12.75" customHeight="1" x14ac:dyDescent="0.2">
      <c r="E471" s="3"/>
    </row>
    <row r="472" spans="5:5" ht="12.75" customHeight="1" x14ac:dyDescent="0.2">
      <c r="E472" s="3"/>
    </row>
    <row r="473" spans="5:5" ht="12.75" customHeight="1" x14ac:dyDescent="0.2">
      <c r="E473" s="3"/>
    </row>
    <row r="474" spans="5:5" ht="12.75" customHeight="1" x14ac:dyDescent="0.2">
      <c r="E474" s="3"/>
    </row>
    <row r="475" spans="5:5" ht="12.75" customHeight="1" x14ac:dyDescent="0.2">
      <c r="E475" s="3"/>
    </row>
    <row r="476" spans="5:5" ht="12.75" customHeight="1" x14ac:dyDescent="0.2">
      <c r="E476" s="3"/>
    </row>
    <row r="477" spans="5:5" ht="12.75" customHeight="1" x14ac:dyDescent="0.2">
      <c r="E477" s="3"/>
    </row>
    <row r="478" spans="5:5" ht="12.75" customHeight="1" x14ac:dyDescent="0.2">
      <c r="E478" s="3"/>
    </row>
    <row r="479" spans="5:5" ht="12.75" customHeight="1" x14ac:dyDescent="0.2">
      <c r="E479" s="3"/>
    </row>
    <row r="480" spans="5:5" ht="12.75" customHeight="1" x14ac:dyDescent="0.2">
      <c r="E480" s="3"/>
    </row>
    <row r="481" spans="5:5" ht="12.75" customHeight="1" x14ac:dyDescent="0.2">
      <c r="E481" s="3"/>
    </row>
    <row r="482" spans="5:5" ht="12.75" customHeight="1" x14ac:dyDescent="0.2">
      <c r="E482" s="3"/>
    </row>
    <row r="483" spans="5:5" ht="12.75" customHeight="1" x14ac:dyDescent="0.2">
      <c r="E483" s="3"/>
    </row>
    <row r="484" spans="5:5" ht="12.75" customHeight="1" x14ac:dyDescent="0.2">
      <c r="E484" s="3"/>
    </row>
    <row r="485" spans="5:5" ht="12.75" customHeight="1" x14ac:dyDescent="0.2">
      <c r="E485" s="3"/>
    </row>
    <row r="486" spans="5:5" ht="12.75" customHeight="1" x14ac:dyDescent="0.2">
      <c r="E486" s="3"/>
    </row>
    <row r="487" spans="5:5" ht="12.75" customHeight="1" x14ac:dyDescent="0.2">
      <c r="E487" s="3"/>
    </row>
    <row r="488" spans="5:5" ht="12.75" customHeight="1" x14ac:dyDescent="0.2">
      <c r="E488" s="3"/>
    </row>
    <row r="489" spans="5:5" ht="12.75" customHeight="1" x14ac:dyDescent="0.2">
      <c r="E489" s="3"/>
    </row>
    <row r="490" spans="5:5" ht="12.75" customHeight="1" x14ac:dyDescent="0.2">
      <c r="E490" s="3"/>
    </row>
    <row r="491" spans="5:5" ht="12.75" customHeight="1" x14ac:dyDescent="0.2">
      <c r="E491" s="3"/>
    </row>
    <row r="492" spans="5:5" ht="12.75" customHeight="1" x14ac:dyDescent="0.2">
      <c r="E492" s="3"/>
    </row>
    <row r="493" spans="5:5" ht="12.75" customHeight="1" x14ac:dyDescent="0.2">
      <c r="E493" s="3"/>
    </row>
    <row r="494" spans="5:5" ht="12.75" customHeight="1" x14ac:dyDescent="0.2">
      <c r="E494" s="3"/>
    </row>
    <row r="495" spans="5:5" ht="12.75" customHeight="1" x14ac:dyDescent="0.2">
      <c r="E495" s="3"/>
    </row>
    <row r="496" spans="5:5" ht="12.75" customHeight="1" x14ac:dyDescent="0.2">
      <c r="E496" s="3"/>
    </row>
    <row r="497" spans="5:5" ht="12.75" customHeight="1" x14ac:dyDescent="0.2">
      <c r="E497" s="3"/>
    </row>
    <row r="498" spans="5:5" ht="12.75" customHeight="1" x14ac:dyDescent="0.2">
      <c r="E498" s="3"/>
    </row>
    <row r="499" spans="5:5" ht="12.75" customHeight="1" x14ac:dyDescent="0.2">
      <c r="E499" s="3"/>
    </row>
    <row r="500" spans="5:5" ht="12.75" customHeight="1" x14ac:dyDescent="0.2">
      <c r="E500" s="3"/>
    </row>
    <row r="501" spans="5:5" ht="12.75" customHeight="1" x14ac:dyDescent="0.2">
      <c r="E501" s="3"/>
    </row>
    <row r="502" spans="5:5" ht="12.75" customHeight="1" x14ac:dyDescent="0.2">
      <c r="E502" s="3"/>
    </row>
    <row r="503" spans="5:5" ht="12.75" customHeight="1" x14ac:dyDescent="0.2">
      <c r="E503" s="3"/>
    </row>
    <row r="504" spans="5:5" ht="12.75" customHeight="1" x14ac:dyDescent="0.2">
      <c r="E504" s="3"/>
    </row>
    <row r="505" spans="5:5" ht="12.75" customHeight="1" x14ac:dyDescent="0.2">
      <c r="E505" s="3"/>
    </row>
    <row r="506" spans="5:5" ht="12.75" customHeight="1" x14ac:dyDescent="0.2">
      <c r="E506" s="3"/>
    </row>
    <row r="507" spans="5:5" ht="12.75" customHeight="1" x14ac:dyDescent="0.2">
      <c r="E507" s="3"/>
    </row>
    <row r="508" spans="5:5" ht="12.75" customHeight="1" x14ac:dyDescent="0.2">
      <c r="E508" s="3"/>
    </row>
    <row r="509" spans="5:5" ht="12.75" customHeight="1" x14ac:dyDescent="0.2">
      <c r="E509" s="3"/>
    </row>
    <row r="510" spans="5:5" ht="12.75" customHeight="1" x14ac:dyDescent="0.2">
      <c r="E510" s="3"/>
    </row>
    <row r="511" spans="5:5" ht="12.75" customHeight="1" x14ac:dyDescent="0.2">
      <c r="E511" s="3"/>
    </row>
    <row r="512" spans="5:5" ht="12.75" customHeight="1" x14ac:dyDescent="0.2">
      <c r="E512" s="3"/>
    </row>
    <row r="513" spans="5:5" ht="12.75" customHeight="1" x14ac:dyDescent="0.2">
      <c r="E513" s="3"/>
    </row>
    <row r="514" spans="5:5" ht="12.75" customHeight="1" x14ac:dyDescent="0.2">
      <c r="E514" s="3"/>
    </row>
    <row r="515" spans="5:5" ht="12.75" customHeight="1" x14ac:dyDescent="0.2">
      <c r="E515" s="3"/>
    </row>
    <row r="516" spans="5:5" ht="12.75" customHeight="1" x14ac:dyDescent="0.2">
      <c r="E516" s="3"/>
    </row>
    <row r="517" spans="5:5" ht="12.75" customHeight="1" x14ac:dyDescent="0.2">
      <c r="E517" s="3"/>
    </row>
    <row r="518" spans="5:5" ht="12.75" customHeight="1" x14ac:dyDescent="0.2">
      <c r="E518" s="3"/>
    </row>
    <row r="519" spans="5:5" ht="12.75" customHeight="1" x14ac:dyDescent="0.2">
      <c r="E519" s="3"/>
    </row>
    <row r="520" spans="5:5" ht="12.75" customHeight="1" x14ac:dyDescent="0.2">
      <c r="E520" s="3"/>
    </row>
    <row r="521" spans="5:5" ht="12.75" customHeight="1" x14ac:dyDescent="0.2">
      <c r="E521" s="3"/>
    </row>
    <row r="522" spans="5:5" ht="12.75" customHeight="1" x14ac:dyDescent="0.2">
      <c r="E522" s="3"/>
    </row>
    <row r="523" spans="5:5" ht="12.75" customHeight="1" x14ac:dyDescent="0.2">
      <c r="E523" s="3"/>
    </row>
    <row r="524" spans="5:5" ht="12.75" customHeight="1" x14ac:dyDescent="0.2">
      <c r="E524" s="3"/>
    </row>
    <row r="525" spans="5:5" ht="12.75" customHeight="1" x14ac:dyDescent="0.2">
      <c r="E525" s="3"/>
    </row>
    <row r="526" spans="5:5" ht="12.75" customHeight="1" x14ac:dyDescent="0.2">
      <c r="E526" s="3"/>
    </row>
    <row r="527" spans="5:5" ht="12.75" customHeight="1" x14ac:dyDescent="0.2">
      <c r="E527" s="3"/>
    </row>
    <row r="528" spans="5:5" ht="12.75" customHeight="1" x14ac:dyDescent="0.2">
      <c r="E528" s="3"/>
    </row>
    <row r="529" spans="5:5" ht="12.75" customHeight="1" x14ac:dyDescent="0.2">
      <c r="E529" s="3"/>
    </row>
    <row r="530" spans="5:5" ht="12.75" customHeight="1" x14ac:dyDescent="0.2">
      <c r="E530" s="3"/>
    </row>
    <row r="531" spans="5:5" ht="12.75" customHeight="1" x14ac:dyDescent="0.2">
      <c r="E531" s="3"/>
    </row>
    <row r="532" spans="5:5" ht="12.75" customHeight="1" x14ac:dyDescent="0.2">
      <c r="E532" s="3"/>
    </row>
    <row r="533" spans="5:5" ht="12.75" customHeight="1" x14ac:dyDescent="0.2">
      <c r="E533" s="3"/>
    </row>
    <row r="534" spans="5:5" ht="12.75" customHeight="1" x14ac:dyDescent="0.2">
      <c r="E534" s="3"/>
    </row>
    <row r="535" spans="5:5" ht="12.75" customHeight="1" x14ac:dyDescent="0.2">
      <c r="E535" s="3"/>
    </row>
    <row r="536" spans="5:5" ht="12.75" customHeight="1" x14ac:dyDescent="0.2">
      <c r="E536" s="3"/>
    </row>
    <row r="537" spans="5:5" ht="12.75" customHeight="1" x14ac:dyDescent="0.2">
      <c r="E537" s="3"/>
    </row>
    <row r="538" spans="5:5" ht="12.75" customHeight="1" x14ac:dyDescent="0.2">
      <c r="E538" s="3"/>
    </row>
    <row r="539" spans="5:5" ht="12.75" customHeight="1" x14ac:dyDescent="0.2">
      <c r="E539" s="3"/>
    </row>
    <row r="540" spans="5:5" ht="12.75" customHeight="1" x14ac:dyDescent="0.2">
      <c r="E540" s="3"/>
    </row>
    <row r="541" spans="5:5" ht="12.75" customHeight="1" x14ac:dyDescent="0.2">
      <c r="E541" s="3"/>
    </row>
    <row r="542" spans="5:5" ht="12.75" customHeight="1" x14ac:dyDescent="0.2">
      <c r="E542" s="3"/>
    </row>
    <row r="543" spans="5:5" ht="12.75" customHeight="1" x14ac:dyDescent="0.2">
      <c r="E543" s="3"/>
    </row>
    <row r="544" spans="5:5" ht="12.75" customHeight="1" x14ac:dyDescent="0.2">
      <c r="E544" s="3"/>
    </row>
    <row r="545" spans="5:5" ht="12.75" customHeight="1" x14ac:dyDescent="0.2">
      <c r="E545" s="3"/>
    </row>
    <row r="546" spans="5:5" ht="12.75" customHeight="1" x14ac:dyDescent="0.2">
      <c r="E546" s="3"/>
    </row>
    <row r="547" spans="5:5" ht="12.75" customHeight="1" x14ac:dyDescent="0.2">
      <c r="E547" s="3"/>
    </row>
    <row r="548" spans="5:5" ht="12.75" customHeight="1" x14ac:dyDescent="0.2">
      <c r="E548" s="3"/>
    </row>
    <row r="549" spans="5:5" ht="12.75" customHeight="1" x14ac:dyDescent="0.2">
      <c r="E549" s="3"/>
    </row>
    <row r="550" spans="5:5" ht="12.75" customHeight="1" x14ac:dyDescent="0.2">
      <c r="E550" s="3"/>
    </row>
    <row r="551" spans="5:5" ht="12.75" customHeight="1" x14ac:dyDescent="0.2">
      <c r="E551" s="3"/>
    </row>
    <row r="552" spans="5:5" ht="12.75" customHeight="1" x14ac:dyDescent="0.2">
      <c r="E552" s="3"/>
    </row>
    <row r="553" spans="5:5" ht="12.75" customHeight="1" x14ac:dyDescent="0.2">
      <c r="E553" s="3"/>
    </row>
    <row r="554" spans="5:5" ht="12.75" customHeight="1" x14ac:dyDescent="0.2">
      <c r="E554" s="3"/>
    </row>
    <row r="555" spans="5:5" ht="12.75" customHeight="1" x14ac:dyDescent="0.2">
      <c r="E555" s="3"/>
    </row>
    <row r="556" spans="5:5" ht="12.75" customHeight="1" x14ac:dyDescent="0.2">
      <c r="E556" s="3"/>
    </row>
    <row r="557" spans="5:5" ht="12.75" customHeight="1" x14ac:dyDescent="0.2">
      <c r="E557" s="3"/>
    </row>
    <row r="558" spans="5:5" ht="12.75" customHeight="1" x14ac:dyDescent="0.2">
      <c r="E558" s="3"/>
    </row>
    <row r="559" spans="5:5" ht="12.75" customHeight="1" x14ac:dyDescent="0.2">
      <c r="E559" s="3"/>
    </row>
    <row r="560" spans="5:5" ht="12.75" customHeight="1" x14ac:dyDescent="0.2">
      <c r="E560" s="3"/>
    </row>
    <row r="561" spans="5:5" ht="12.75" customHeight="1" x14ac:dyDescent="0.2">
      <c r="E561" s="3"/>
    </row>
    <row r="562" spans="5:5" ht="12.75" customHeight="1" x14ac:dyDescent="0.2">
      <c r="E562" s="3"/>
    </row>
    <row r="563" spans="5:5" ht="12.75" customHeight="1" x14ac:dyDescent="0.2">
      <c r="E563" s="3"/>
    </row>
    <row r="564" spans="5:5" ht="12.75" customHeight="1" x14ac:dyDescent="0.2">
      <c r="E564" s="3"/>
    </row>
    <row r="565" spans="5:5" ht="12.75" customHeight="1" x14ac:dyDescent="0.2">
      <c r="E565" s="3"/>
    </row>
    <row r="566" spans="5:5" ht="12.75" customHeight="1" x14ac:dyDescent="0.2">
      <c r="E566" s="3"/>
    </row>
    <row r="567" spans="5:5" ht="12.75" customHeight="1" x14ac:dyDescent="0.2">
      <c r="E567" s="3"/>
    </row>
    <row r="568" spans="5:5" ht="12.75" customHeight="1" x14ac:dyDescent="0.2">
      <c r="E568" s="3"/>
    </row>
    <row r="569" spans="5:5" ht="12.75" customHeight="1" x14ac:dyDescent="0.2">
      <c r="E569" s="3"/>
    </row>
    <row r="570" spans="5:5" ht="12.75" customHeight="1" x14ac:dyDescent="0.2">
      <c r="E570" s="3"/>
    </row>
    <row r="571" spans="5:5" ht="12.75" customHeight="1" x14ac:dyDescent="0.2">
      <c r="E571" s="3"/>
    </row>
    <row r="572" spans="5:5" ht="12.75" customHeight="1" x14ac:dyDescent="0.2">
      <c r="E572" s="3"/>
    </row>
    <row r="573" spans="5:5" ht="12.75" customHeight="1" x14ac:dyDescent="0.2">
      <c r="E573" s="3"/>
    </row>
    <row r="574" spans="5:5" ht="12.75" customHeight="1" x14ac:dyDescent="0.2">
      <c r="E574" s="3"/>
    </row>
    <row r="575" spans="5:5" ht="12.75" customHeight="1" x14ac:dyDescent="0.2">
      <c r="E575" s="3"/>
    </row>
    <row r="576" spans="5:5" ht="12.75" customHeight="1" x14ac:dyDescent="0.2">
      <c r="E576" s="3"/>
    </row>
    <row r="577" spans="5:5" ht="12.75" customHeight="1" x14ac:dyDescent="0.2">
      <c r="E577" s="3"/>
    </row>
    <row r="578" spans="5:5" ht="12.75" customHeight="1" x14ac:dyDescent="0.2">
      <c r="E578" s="3"/>
    </row>
    <row r="579" spans="5:5" ht="12.75" customHeight="1" x14ac:dyDescent="0.2">
      <c r="E579" s="3"/>
    </row>
    <row r="580" spans="5:5" ht="12.75" customHeight="1" x14ac:dyDescent="0.2">
      <c r="E580" s="3"/>
    </row>
    <row r="581" spans="5:5" ht="12.75" customHeight="1" x14ac:dyDescent="0.2">
      <c r="E581" s="3"/>
    </row>
    <row r="582" spans="5:5" ht="12.75" customHeight="1" x14ac:dyDescent="0.2">
      <c r="E582" s="3"/>
    </row>
    <row r="583" spans="5:5" ht="12.75" customHeight="1" x14ac:dyDescent="0.2">
      <c r="E583" s="3"/>
    </row>
    <row r="584" spans="5:5" ht="12.75" customHeight="1" x14ac:dyDescent="0.2">
      <c r="E584" s="3"/>
    </row>
    <row r="585" spans="5:5" ht="12.75" customHeight="1" x14ac:dyDescent="0.2">
      <c r="E585" s="3"/>
    </row>
    <row r="586" spans="5:5" ht="12.75" customHeight="1" x14ac:dyDescent="0.2">
      <c r="E586" s="3"/>
    </row>
    <row r="587" spans="5:5" ht="12.75" customHeight="1" x14ac:dyDescent="0.2">
      <c r="E587" s="3"/>
    </row>
    <row r="588" spans="5:5" ht="12.75" customHeight="1" x14ac:dyDescent="0.2">
      <c r="E588" s="3"/>
    </row>
    <row r="589" spans="5:5" ht="12.75" customHeight="1" x14ac:dyDescent="0.2">
      <c r="E589" s="3"/>
    </row>
    <row r="590" spans="5:5" ht="12.75" customHeight="1" x14ac:dyDescent="0.2">
      <c r="E590" s="3"/>
    </row>
    <row r="591" spans="5:5" ht="12.75" customHeight="1" x14ac:dyDescent="0.2">
      <c r="E591" s="3"/>
    </row>
    <row r="592" spans="5:5" ht="12.75" customHeight="1" x14ac:dyDescent="0.2">
      <c r="E592" s="3"/>
    </row>
    <row r="593" spans="5:5" ht="12.75" customHeight="1" x14ac:dyDescent="0.2">
      <c r="E593" s="3"/>
    </row>
    <row r="594" spans="5:5" ht="12.75" customHeight="1" x14ac:dyDescent="0.2">
      <c r="E594" s="3"/>
    </row>
    <row r="595" spans="5:5" ht="12.75" customHeight="1" x14ac:dyDescent="0.2">
      <c r="E595" s="3"/>
    </row>
    <row r="596" spans="5:5" ht="12.75" customHeight="1" x14ac:dyDescent="0.2">
      <c r="E596" s="3"/>
    </row>
    <row r="597" spans="5:5" ht="12.75" customHeight="1" x14ac:dyDescent="0.2">
      <c r="E597" s="3"/>
    </row>
    <row r="598" spans="5:5" ht="12.75" customHeight="1" x14ac:dyDescent="0.2">
      <c r="E598" s="3"/>
    </row>
    <row r="599" spans="5:5" ht="12.75" customHeight="1" x14ac:dyDescent="0.2">
      <c r="E599" s="3"/>
    </row>
    <row r="600" spans="5:5" ht="12.75" customHeight="1" x14ac:dyDescent="0.2">
      <c r="E600" s="3"/>
    </row>
    <row r="601" spans="5:5" ht="12.75" customHeight="1" x14ac:dyDescent="0.2">
      <c r="E601" s="3"/>
    </row>
    <row r="602" spans="5:5" ht="12.75" customHeight="1" x14ac:dyDescent="0.2">
      <c r="E602" s="3"/>
    </row>
    <row r="603" spans="5:5" ht="12.75" customHeight="1" x14ac:dyDescent="0.2">
      <c r="E603" s="3"/>
    </row>
    <row r="604" spans="5:5" ht="12.75" customHeight="1" x14ac:dyDescent="0.2">
      <c r="E604" s="3"/>
    </row>
    <row r="605" spans="5:5" ht="12.75" customHeight="1" x14ac:dyDescent="0.2">
      <c r="E605" s="3"/>
    </row>
    <row r="606" spans="5:5" ht="12.75" customHeight="1" x14ac:dyDescent="0.2">
      <c r="E606" s="3"/>
    </row>
    <row r="607" spans="5:5" ht="12.75" customHeight="1" x14ac:dyDescent="0.2">
      <c r="E607" s="3"/>
    </row>
    <row r="608" spans="5:5" ht="12.75" customHeight="1" x14ac:dyDescent="0.2">
      <c r="E608" s="3"/>
    </row>
    <row r="609" spans="5:5" ht="12.75" customHeight="1" x14ac:dyDescent="0.2">
      <c r="E609" s="3"/>
    </row>
    <row r="610" spans="5:5" ht="12.75" customHeight="1" x14ac:dyDescent="0.2">
      <c r="E610" s="3"/>
    </row>
    <row r="611" spans="5:5" ht="12.75" customHeight="1" x14ac:dyDescent="0.2">
      <c r="E611" s="3"/>
    </row>
    <row r="612" spans="5:5" ht="12.75" customHeight="1" x14ac:dyDescent="0.2">
      <c r="E612" s="3"/>
    </row>
    <row r="613" spans="5:5" ht="12.75" customHeight="1" x14ac:dyDescent="0.2">
      <c r="E613" s="3"/>
    </row>
    <row r="614" spans="5:5" ht="12.75" customHeight="1" x14ac:dyDescent="0.2">
      <c r="E614" s="3"/>
    </row>
    <row r="615" spans="5:5" ht="12.75" customHeight="1" x14ac:dyDescent="0.2">
      <c r="E615" s="3"/>
    </row>
    <row r="616" spans="5:5" ht="12.75" customHeight="1" x14ac:dyDescent="0.2">
      <c r="E616" s="3"/>
    </row>
    <row r="617" spans="5:5" ht="12.75" customHeight="1" x14ac:dyDescent="0.2">
      <c r="E617" s="3"/>
    </row>
    <row r="618" spans="5:5" ht="12.75" customHeight="1" x14ac:dyDescent="0.2">
      <c r="E618" s="3"/>
    </row>
    <row r="619" spans="5:5" ht="12.75" customHeight="1" x14ac:dyDescent="0.2">
      <c r="E619" s="3"/>
    </row>
    <row r="620" spans="5:5" ht="12.75" customHeight="1" x14ac:dyDescent="0.2">
      <c r="E620" s="3"/>
    </row>
    <row r="621" spans="5:5" ht="12.75" customHeight="1" x14ac:dyDescent="0.2">
      <c r="E621" s="3"/>
    </row>
    <row r="622" spans="5:5" ht="12.75" customHeight="1" x14ac:dyDescent="0.2">
      <c r="E622" s="3"/>
    </row>
    <row r="623" spans="5:5" ht="12.75" customHeight="1" x14ac:dyDescent="0.2">
      <c r="E623" s="3"/>
    </row>
    <row r="624" spans="5:5" ht="12.75" customHeight="1" x14ac:dyDescent="0.2">
      <c r="E624" s="3"/>
    </row>
    <row r="625" spans="5:5" ht="12.75" customHeight="1" x14ac:dyDescent="0.2">
      <c r="E625" s="3"/>
    </row>
    <row r="626" spans="5:5" ht="12.75" customHeight="1" x14ac:dyDescent="0.2">
      <c r="E626" s="3"/>
    </row>
    <row r="627" spans="5:5" ht="12.75" customHeight="1" x14ac:dyDescent="0.2">
      <c r="E627" s="3"/>
    </row>
    <row r="628" spans="5:5" ht="12.75" customHeight="1" x14ac:dyDescent="0.2">
      <c r="E628" s="3"/>
    </row>
    <row r="629" spans="5:5" ht="12.75" customHeight="1" x14ac:dyDescent="0.2">
      <c r="E629" s="3"/>
    </row>
    <row r="630" spans="5:5" ht="12.75" customHeight="1" x14ac:dyDescent="0.2">
      <c r="E630" s="3"/>
    </row>
    <row r="631" spans="5:5" ht="12.75" customHeight="1" x14ac:dyDescent="0.2">
      <c r="E631" s="3"/>
    </row>
    <row r="632" spans="5:5" ht="12.75" customHeight="1" x14ac:dyDescent="0.2">
      <c r="E632" s="3"/>
    </row>
    <row r="633" spans="5:5" ht="12.75" customHeight="1" x14ac:dyDescent="0.2">
      <c r="E633" s="3"/>
    </row>
    <row r="634" spans="5:5" ht="12.75" customHeight="1" x14ac:dyDescent="0.2">
      <c r="E634" s="3"/>
    </row>
    <row r="635" spans="5:5" ht="12.75" customHeight="1" x14ac:dyDescent="0.2">
      <c r="E635" s="3"/>
    </row>
    <row r="636" spans="5:5" ht="12.75" customHeight="1" x14ac:dyDescent="0.2">
      <c r="E636" s="3"/>
    </row>
    <row r="637" spans="5:5" ht="12.75" customHeight="1" x14ac:dyDescent="0.2">
      <c r="E637" s="3"/>
    </row>
    <row r="638" spans="5:5" ht="12.75" customHeight="1" x14ac:dyDescent="0.2">
      <c r="E638" s="3"/>
    </row>
    <row r="639" spans="5:5" ht="12.75" customHeight="1" x14ac:dyDescent="0.2">
      <c r="E639" s="3"/>
    </row>
    <row r="640" spans="5:5" ht="12.75" customHeight="1" x14ac:dyDescent="0.2">
      <c r="E640" s="3"/>
    </row>
    <row r="641" spans="5:5" ht="12.75" customHeight="1" x14ac:dyDescent="0.2">
      <c r="E641" s="3"/>
    </row>
    <row r="642" spans="5:5" ht="12.75" customHeight="1" x14ac:dyDescent="0.2">
      <c r="E642" s="3"/>
    </row>
    <row r="643" spans="5:5" ht="12.75" customHeight="1" x14ac:dyDescent="0.2">
      <c r="E643" s="3"/>
    </row>
    <row r="644" spans="5:5" ht="12.75" customHeight="1" x14ac:dyDescent="0.2">
      <c r="E644" s="3"/>
    </row>
    <row r="645" spans="5:5" ht="12.75" customHeight="1" x14ac:dyDescent="0.2">
      <c r="E645" s="3"/>
    </row>
    <row r="646" spans="5:5" ht="12.75" customHeight="1" x14ac:dyDescent="0.2">
      <c r="E646" s="3"/>
    </row>
    <row r="647" spans="5:5" ht="12.75" customHeight="1" x14ac:dyDescent="0.2">
      <c r="E647" s="3"/>
    </row>
    <row r="648" spans="5:5" ht="12.75" customHeight="1" x14ac:dyDescent="0.2">
      <c r="E648" s="3"/>
    </row>
    <row r="649" spans="5:5" ht="12.75" customHeight="1" x14ac:dyDescent="0.2">
      <c r="E649" s="3"/>
    </row>
    <row r="650" spans="5:5" ht="12.75" customHeight="1" x14ac:dyDescent="0.2">
      <c r="E650" s="3"/>
    </row>
    <row r="651" spans="5:5" ht="12.75" customHeight="1" x14ac:dyDescent="0.2">
      <c r="E651" s="3"/>
    </row>
    <row r="652" spans="5:5" ht="12.75" customHeight="1" x14ac:dyDescent="0.2">
      <c r="E652" s="3"/>
    </row>
    <row r="653" spans="5:5" ht="12.75" customHeight="1" x14ac:dyDescent="0.2">
      <c r="E653" s="3"/>
    </row>
    <row r="654" spans="5:5" ht="12.75" customHeight="1" x14ac:dyDescent="0.2">
      <c r="E654" s="3"/>
    </row>
    <row r="655" spans="5:5" ht="12.75" customHeight="1" x14ac:dyDescent="0.2">
      <c r="E655" s="3"/>
    </row>
    <row r="656" spans="5:5" ht="12.75" customHeight="1" x14ac:dyDescent="0.2">
      <c r="E656" s="3"/>
    </row>
    <row r="657" spans="5:5" ht="12.75" customHeight="1" x14ac:dyDescent="0.2">
      <c r="E657" s="3"/>
    </row>
    <row r="658" spans="5:5" ht="12.75" customHeight="1" x14ac:dyDescent="0.2">
      <c r="E658" s="3"/>
    </row>
    <row r="659" spans="5:5" ht="12.75" customHeight="1" x14ac:dyDescent="0.2">
      <c r="E659" s="3"/>
    </row>
    <row r="660" spans="5:5" ht="12.75" customHeight="1" x14ac:dyDescent="0.2">
      <c r="E660" s="3"/>
    </row>
    <row r="661" spans="5:5" ht="12.75" customHeight="1" x14ac:dyDescent="0.2">
      <c r="E661" s="3"/>
    </row>
    <row r="662" spans="5:5" ht="12.75" customHeight="1" x14ac:dyDescent="0.2">
      <c r="E662" s="3"/>
    </row>
    <row r="663" spans="5:5" ht="12.75" customHeight="1" x14ac:dyDescent="0.2">
      <c r="E663" s="3"/>
    </row>
    <row r="664" spans="5:5" ht="12.75" customHeight="1" x14ac:dyDescent="0.2">
      <c r="E664" s="3"/>
    </row>
    <row r="665" spans="5:5" ht="12.75" customHeight="1" x14ac:dyDescent="0.2">
      <c r="E665" s="3"/>
    </row>
    <row r="666" spans="5:5" ht="12.75" customHeight="1" x14ac:dyDescent="0.2">
      <c r="E666" s="3"/>
    </row>
    <row r="667" spans="5:5" ht="12.75" customHeight="1" x14ac:dyDescent="0.2">
      <c r="E667" s="3"/>
    </row>
    <row r="668" spans="5:5" ht="12.75" customHeight="1" x14ac:dyDescent="0.2">
      <c r="E668" s="3"/>
    </row>
    <row r="669" spans="5:5" ht="12.75" customHeight="1" x14ac:dyDescent="0.2">
      <c r="E669" s="3"/>
    </row>
    <row r="670" spans="5:5" ht="12.75" customHeight="1" x14ac:dyDescent="0.2">
      <c r="E670" s="3"/>
    </row>
    <row r="671" spans="5:5" ht="12.75" customHeight="1" x14ac:dyDescent="0.2">
      <c r="E671" s="3"/>
    </row>
    <row r="672" spans="5:5" ht="12.75" customHeight="1" x14ac:dyDescent="0.2">
      <c r="E672" s="3"/>
    </row>
    <row r="673" spans="5:5" ht="12.75" customHeight="1" x14ac:dyDescent="0.2">
      <c r="E673" s="3"/>
    </row>
    <row r="674" spans="5:5" ht="12.75" customHeight="1" x14ac:dyDescent="0.2">
      <c r="E674" s="3"/>
    </row>
    <row r="675" spans="5:5" ht="12.75" customHeight="1" x14ac:dyDescent="0.2">
      <c r="E675" s="3"/>
    </row>
    <row r="676" spans="5:5" ht="12.75" customHeight="1" x14ac:dyDescent="0.2">
      <c r="E676" s="3"/>
    </row>
    <row r="677" spans="5:5" ht="12.75" customHeight="1" x14ac:dyDescent="0.2">
      <c r="E677" s="3"/>
    </row>
    <row r="678" spans="5:5" ht="12.75" customHeight="1" x14ac:dyDescent="0.2">
      <c r="E678" s="3"/>
    </row>
    <row r="679" spans="5:5" ht="12.75" customHeight="1" x14ac:dyDescent="0.2">
      <c r="E679" s="3"/>
    </row>
    <row r="680" spans="5:5" ht="12.75" customHeight="1" x14ac:dyDescent="0.2">
      <c r="E680" s="3"/>
    </row>
    <row r="681" spans="5:5" ht="12.75" customHeight="1" x14ac:dyDescent="0.2">
      <c r="E681" s="3"/>
    </row>
    <row r="682" spans="5:5" ht="12.75" customHeight="1" x14ac:dyDescent="0.2">
      <c r="E682" s="3"/>
    </row>
    <row r="683" spans="5:5" ht="12.75" customHeight="1" x14ac:dyDescent="0.2">
      <c r="E683" s="3"/>
    </row>
    <row r="684" spans="5:5" ht="12.75" customHeight="1" x14ac:dyDescent="0.2">
      <c r="E684" s="3"/>
    </row>
    <row r="685" spans="5:5" ht="12.75" customHeight="1" x14ac:dyDescent="0.2">
      <c r="E685" s="3"/>
    </row>
    <row r="686" spans="5:5" ht="12.75" customHeight="1" x14ac:dyDescent="0.2">
      <c r="E686" s="3"/>
    </row>
    <row r="687" spans="5:5" ht="12.75" customHeight="1" x14ac:dyDescent="0.2">
      <c r="E687" s="3"/>
    </row>
    <row r="688" spans="5:5" ht="12.75" customHeight="1" x14ac:dyDescent="0.2">
      <c r="E688" s="3"/>
    </row>
    <row r="689" spans="5:5" ht="12.75" customHeight="1" x14ac:dyDescent="0.2">
      <c r="E689" s="3"/>
    </row>
    <row r="690" spans="5:5" ht="12.75" customHeight="1" x14ac:dyDescent="0.2">
      <c r="E690" s="3"/>
    </row>
    <row r="691" spans="5:5" ht="12.75" customHeight="1" x14ac:dyDescent="0.2">
      <c r="E691" s="3"/>
    </row>
    <row r="692" spans="5:5" ht="12.75" customHeight="1" x14ac:dyDescent="0.2">
      <c r="E692" s="3"/>
    </row>
    <row r="693" spans="5:5" ht="12.75" customHeight="1" x14ac:dyDescent="0.2">
      <c r="E693" s="3"/>
    </row>
    <row r="694" spans="5:5" ht="12.75" customHeight="1" x14ac:dyDescent="0.2">
      <c r="E694" s="3"/>
    </row>
    <row r="695" spans="5:5" ht="12.75" customHeight="1" x14ac:dyDescent="0.2">
      <c r="E695" s="3"/>
    </row>
    <row r="696" spans="5:5" ht="12.75" customHeight="1" x14ac:dyDescent="0.2">
      <c r="E696" s="3"/>
    </row>
    <row r="697" spans="5:5" ht="12.75" customHeight="1" x14ac:dyDescent="0.2">
      <c r="E697" s="3"/>
    </row>
    <row r="698" spans="5:5" ht="12.75" customHeight="1" x14ac:dyDescent="0.2">
      <c r="E698" s="3"/>
    </row>
    <row r="699" spans="5:5" ht="12.75" customHeight="1" x14ac:dyDescent="0.2">
      <c r="E699" s="3"/>
    </row>
    <row r="700" spans="5:5" ht="12.75" customHeight="1" x14ac:dyDescent="0.2">
      <c r="E700" s="3"/>
    </row>
    <row r="701" spans="5:5" ht="12.75" customHeight="1" x14ac:dyDescent="0.2">
      <c r="E701" s="3"/>
    </row>
    <row r="702" spans="5:5" ht="12.75" customHeight="1" x14ac:dyDescent="0.2">
      <c r="E702" s="3"/>
    </row>
    <row r="703" spans="5:5" ht="12.75" customHeight="1" x14ac:dyDescent="0.2">
      <c r="E703" s="3"/>
    </row>
    <row r="704" spans="5:5" ht="12.75" customHeight="1" x14ac:dyDescent="0.2">
      <c r="E704" s="3"/>
    </row>
    <row r="705" spans="5:5" ht="12.75" customHeight="1" x14ac:dyDescent="0.2">
      <c r="E705" s="3"/>
    </row>
    <row r="706" spans="5:5" ht="12.75" customHeight="1" x14ac:dyDescent="0.2">
      <c r="E706" s="3"/>
    </row>
    <row r="707" spans="5:5" ht="12.75" customHeight="1" x14ac:dyDescent="0.2">
      <c r="E707" s="3"/>
    </row>
    <row r="708" spans="5:5" ht="12.75" customHeight="1" x14ac:dyDescent="0.2">
      <c r="E708" s="3"/>
    </row>
    <row r="709" spans="5:5" ht="12.75" customHeight="1" x14ac:dyDescent="0.2">
      <c r="E709" s="3"/>
    </row>
    <row r="710" spans="5:5" ht="12.75" customHeight="1" x14ac:dyDescent="0.2">
      <c r="E710" s="3"/>
    </row>
    <row r="711" spans="5:5" ht="12.75" customHeight="1" x14ac:dyDescent="0.2">
      <c r="E711" s="3"/>
    </row>
    <row r="712" spans="5:5" ht="12.75" customHeight="1" x14ac:dyDescent="0.2">
      <c r="E712" s="3"/>
    </row>
    <row r="713" spans="5:5" ht="12.75" customHeight="1" x14ac:dyDescent="0.2">
      <c r="E713" s="3"/>
    </row>
    <row r="714" spans="5:5" ht="12.75" customHeight="1" x14ac:dyDescent="0.2">
      <c r="E714" s="3"/>
    </row>
    <row r="715" spans="5:5" ht="12.75" customHeight="1" x14ac:dyDescent="0.2">
      <c r="E715" s="3"/>
    </row>
    <row r="716" spans="5:5" ht="12.75" customHeight="1" x14ac:dyDescent="0.2">
      <c r="E716" s="3"/>
    </row>
    <row r="717" spans="5:5" ht="12.75" customHeight="1" x14ac:dyDescent="0.2">
      <c r="E717" s="3"/>
    </row>
    <row r="718" spans="5:5" ht="12.75" customHeight="1" x14ac:dyDescent="0.2">
      <c r="E718" s="3"/>
    </row>
    <row r="719" spans="5:5" ht="12.75" customHeight="1" x14ac:dyDescent="0.2">
      <c r="E719" s="3"/>
    </row>
    <row r="720" spans="5:5" ht="12.75" customHeight="1" x14ac:dyDescent="0.2">
      <c r="E720" s="3"/>
    </row>
    <row r="721" spans="5:5" ht="12.75" customHeight="1" x14ac:dyDescent="0.2">
      <c r="E721" s="3"/>
    </row>
    <row r="722" spans="5:5" ht="12.75" customHeight="1" x14ac:dyDescent="0.2">
      <c r="E722" s="3"/>
    </row>
    <row r="723" spans="5:5" ht="12.75" customHeight="1" x14ac:dyDescent="0.2">
      <c r="E723" s="3"/>
    </row>
    <row r="724" spans="5:5" ht="12.75" customHeight="1" x14ac:dyDescent="0.2">
      <c r="E724" s="3"/>
    </row>
    <row r="725" spans="5:5" ht="12.75" customHeight="1" x14ac:dyDescent="0.2">
      <c r="E725" s="3"/>
    </row>
    <row r="726" spans="5:5" ht="12.75" customHeight="1" x14ac:dyDescent="0.2">
      <c r="E726" s="3"/>
    </row>
    <row r="727" spans="5:5" ht="12.75" customHeight="1" x14ac:dyDescent="0.2">
      <c r="E727" s="3"/>
    </row>
    <row r="728" spans="5:5" ht="12.75" customHeight="1" x14ac:dyDescent="0.2">
      <c r="E728" s="3"/>
    </row>
    <row r="729" spans="5:5" ht="12.75" customHeight="1" x14ac:dyDescent="0.2">
      <c r="E729" s="3"/>
    </row>
    <row r="730" spans="5:5" ht="12.75" customHeight="1" x14ac:dyDescent="0.2">
      <c r="E730" s="3"/>
    </row>
    <row r="731" spans="5:5" ht="12.75" customHeight="1" x14ac:dyDescent="0.2">
      <c r="E731" s="3"/>
    </row>
    <row r="732" spans="5:5" ht="12.75" customHeight="1" x14ac:dyDescent="0.2">
      <c r="E732" s="3"/>
    </row>
    <row r="733" spans="5:5" ht="12.75" customHeight="1" x14ac:dyDescent="0.2">
      <c r="E733" s="3"/>
    </row>
    <row r="734" spans="5:5" ht="12.75" customHeight="1" x14ac:dyDescent="0.2">
      <c r="E734" s="3"/>
    </row>
    <row r="735" spans="5:5" ht="12.75" customHeight="1" x14ac:dyDescent="0.2">
      <c r="E735" s="3"/>
    </row>
    <row r="736" spans="5:5" ht="12.75" customHeight="1" x14ac:dyDescent="0.2">
      <c r="E736" s="3"/>
    </row>
    <row r="737" spans="5:5" ht="12.75" customHeight="1" x14ac:dyDescent="0.2">
      <c r="E737" s="3"/>
    </row>
    <row r="738" spans="5:5" ht="12.75" customHeight="1" x14ac:dyDescent="0.2">
      <c r="E738" s="3"/>
    </row>
    <row r="739" spans="5:5" ht="12.75" customHeight="1" x14ac:dyDescent="0.2">
      <c r="E739" s="3"/>
    </row>
    <row r="740" spans="5:5" ht="12.75" customHeight="1" x14ac:dyDescent="0.2">
      <c r="E740" s="3"/>
    </row>
    <row r="741" spans="5:5" ht="12.75" customHeight="1" x14ac:dyDescent="0.2">
      <c r="E741" s="3"/>
    </row>
    <row r="742" spans="5:5" ht="12.75" customHeight="1" x14ac:dyDescent="0.2">
      <c r="E742" s="3"/>
    </row>
    <row r="743" spans="5:5" ht="12.75" customHeight="1" x14ac:dyDescent="0.2">
      <c r="E743" s="3"/>
    </row>
    <row r="744" spans="5:5" ht="12.75" customHeight="1" x14ac:dyDescent="0.2">
      <c r="E744" s="3"/>
    </row>
    <row r="745" spans="5:5" ht="12.75" customHeight="1" x14ac:dyDescent="0.2">
      <c r="E745" s="3"/>
    </row>
    <row r="746" spans="5:5" ht="12.75" customHeight="1" x14ac:dyDescent="0.2">
      <c r="E746" s="3"/>
    </row>
    <row r="747" spans="5:5" ht="12.75" customHeight="1" x14ac:dyDescent="0.2">
      <c r="E747" s="3"/>
    </row>
    <row r="748" spans="5:5" ht="12.75" customHeight="1" x14ac:dyDescent="0.2">
      <c r="E748" s="3"/>
    </row>
    <row r="749" spans="5:5" ht="12.75" customHeight="1" x14ac:dyDescent="0.2">
      <c r="E749" s="3"/>
    </row>
    <row r="750" spans="5:5" ht="12.75" customHeight="1" x14ac:dyDescent="0.2">
      <c r="E750" s="3"/>
    </row>
    <row r="751" spans="5:5" ht="12.75" customHeight="1" x14ac:dyDescent="0.2">
      <c r="E751" s="3"/>
    </row>
    <row r="752" spans="5:5" ht="12.75" customHeight="1" x14ac:dyDescent="0.2">
      <c r="E752" s="3"/>
    </row>
    <row r="753" spans="5:5" ht="12.75" customHeight="1" x14ac:dyDescent="0.2">
      <c r="E753" s="3"/>
    </row>
    <row r="754" spans="5:5" ht="12.75" customHeight="1" x14ac:dyDescent="0.2">
      <c r="E754" s="3"/>
    </row>
    <row r="755" spans="5:5" ht="12.75" customHeight="1" x14ac:dyDescent="0.2">
      <c r="E755" s="3"/>
    </row>
    <row r="756" spans="5:5" ht="12.75" customHeight="1" x14ac:dyDescent="0.2">
      <c r="E756" s="3"/>
    </row>
    <row r="757" spans="5:5" ht="12.75" customHeight="1" x14ac:dyDescent="0.2">
      <c r="E757" s="3"/>
    </row>
    <row r="758" spans="5:5" ht="12.75" customHeight="1" x14ac:dyDescent="0.2">
      <c r="E758" s="3"/>
    </row>
    <row r="759" spans="5:5" ht="12.75" customHeight="1" x14ac:dyDescent="0.2">
      <c r="E759" s="3"/>
    </row>
    <row r="760" spans="5:5" ht="12.75" customHeight="1" x14ac:dyDescent="0.2">
      <c r="E760" s="3"/>
    </row>
    <row r="761" spans="5:5" ht="12.75" customHeight="1" x14ac:dyDescent="0.2">
      <c r="E761" s="3"/>
    </row>
    <row r="762" spans="5:5" ht="12.75" customHeight="1" x14ac:dyDescent="0.2">
      <c r="E762" s="3"/>
    </row>
    <row r="763" spans="5:5" ht="12.75" customHeight="1" x14ac:dyDescent="0.2">
      <c r="E763" s="3"/>
    </row>
    <row r="764" spans="5:5" ht="12.75" customHeight="1" x14ac:dyDescent="0.2">
      <c r="E764" s="3"/>
    </row>
    <row r="765" spans="5:5" ht="12.75" customHeight="1" x14ac:dyDescent="0.2">
      <c r="E765" s="3"/>
    </row>
    <row r="766" spans="5:5" ht="12.75" customHeight="1" x14ac:dyDescent="0.2">
      <c r="E766" s="3"/>
    </row>
    <row r="767" spans="5:5" ht="12.75" customHeight="1" x14ac:dyDescent="0.2">
      <c r="E767" s="3"/>
    </row>
    <row r="768" spans="5:5" ht="12.75" customHeight="1" x14ac:dyDescent="0.2">
      <c r="E768" s="3"/>
    </row>
    <row r="769" spans="5:5" ht="12.75" customHeight="1" x14ac:dyDescent="0.2">
      <c r="E769" s="3"/>
    </row>
    <row r="770" spans="5:5" ht="12.75" customHeight="1" x14ac:dyDescent="0.2">
      <c r="E770" s="3"/>
    </row>
    <row r="771" spans="5:5" ht="12.75" customHeight="1" x14ac:dyDescent="0.2">
      <c r="E771" s="3"/>
    </row>
    <row r="772" spans="5:5" ht="12.75" customHeight="1" x14ac:dyDescent="0.2">
      <c r="E772" s="3"/>
    </row>
    <row r="773" spans="5:5" ht="12.75" customHeight="1" x14ac:dyDescent="0.2">
      <c r="E773" s="3"/>
    </row>
    <row r="774" spans="5:5" ht="12.75" customHeight="1" x14ac:dyDescent="0.2">
      <c r="E774" s="3"/>
    </row>
    <row r="775" spans="5:5" ht="12.75" customHeight="1" x14ac:dyDescent="0.2">
      <c r="E775" s="3"/>
    </row>
    <row r="776" spans="5:5" ht="12.75" customHeight="1" x14ac:dyDescent="0.2">
      <c r="E776" s="3"/>
    </row>
    <row r="777" spans="5:5" ht="12.75" customHeight="1" x14ac:dyDescent="0.2">
      <c r="E777" s="3"/>
    </row>
    <row r="778" spans="5:5" ht="12.75" customHeight="1" x14ac:dyDescent="0.2">
      <c r="E778" s="3"/>
    </row>
    <row r="779" spans="5:5" ht="12.75" customHeight="1" x14ac:dyDescent="0.2">
      <c r="E779" s="3"/>
    </row>
    <row r="780" spans="5:5" ht="12.75" customHeight="1" x14ac:dyDescent="0.2">
      <c r="E780" s="3"/>
    </row>
    <row r="781" spans="5:5" ht="12.75" customHeight="1" x14ac:dyDescent="0.2">
      <c r="E781" s="3"/>
    </row>
    <row r="782" spans="5:5" ht="12.75" customHeight="1" x14ac:dyDescent="0.2">
      <c r="E782" s="3"/>
    </row>
    <row r="783" spans="5:5" ht="12.75" customHeight="1" x14ac:dyDescent="0.2">
      <c r="E783" s="3"/>
    </row>
    <row r="784" spans="5:5" ht="12.75" customHeight="1" x14ac:dyDescent="0.2">
      <c r="E784" s="3"/>
    </row>
    <row r="785" spans="5:5" ht="12.75" customHeight="1" x14ac:dyDescent="0.2">
      <c r="E785" s="3"/>
    </row>
    <row r="786" spans="5:5" ht="12.75" customHeight="1" x14ac:dyDescent="0.2">
      <c r="E786" s="3"/>
    </row>
    <row r="787" spans="5:5" ht="12.75" customHeight="1" x14ac:dyDescent="0.2">
      <c r="E787" s="3"/>
    </row>
    <row r="788" spans="5:5" ht="12.75" customHeight="1" x14ac:dyDescent="0.2">
      <c r="E788" s="3"/>
    </row>
    <row r="789" spans="5:5" ht="12.75" customHeight="1" x14ac:dyDescent="0.2">
      <c r="E789" s="3"/>
    </row>
    <row r="790" spans="5:5" ht="12.75" customHeight="1" x14ac:dyDescent="0.2">
      <c r="E790" s="3"/>
    </row>
    <row r="791" spans="5:5" ht="12.75" customHeight="1" x14ac:dyDescent="0.2">
      <c r="E791" s="3"/>
    </row>
    <row r="792" spans="5:5" ht="12.75" customHeight="1" x14ac:dyDescent="0.2">
      <c r="E792" s="3"/>
    </row>
    <row r="793" spans="5:5" ht="12.75" customHeight="1" x14ac:dyDescent="0.2">
      <c r="E793" s="3"/>
    </row>
    <row r="794" spans="5:5" ht="12.75" customHeight="1" x14ac:dyDescent="0.2">
      <c r="E794" s="3"/>
    </row>
    <row r="795" spans="5:5" ht="12.75" customHeight="1" x14ac:dyDescent="0.2">
      <c r="E795" s="3"/>
    </row>
    <row r="796" spans="5:5" ht="12.75" customHeight="1" x14ac:dyDescent="0.2">
      <c r="E796" s="3"/>
    </row>
    <row r="797" spans="5:5" ht="12.75" customHeight="1" x14ac:dyDescent="0.2">
      <c r="E797" s="3"/>
    </row>
    <row r="798" spans="5:5" ht="12.75" customHeight="1" x14ac:dyDescent="0.2">
      <c r="E798" s="3"/>
    </row>
    <row r="799" spans="5:5" ht="12.75" customHeight="1" x14ac:dyDescent="0.2">
      <c r="E799" s="3"/>
    </row>
    <row r="800" spans="5:5" ht="12.75" customHeight="1" x14ac:dyDescent="0.2">
      <c r="E800" s="3"/>
    </row>
    <row r="801" spans="5:5" ht="12.75" customHeight="1" x14ac:dyDescent="0.2">
      <c r="E801" s="3"/>
    </row>
    <row r="802" spans="5:5" ht="12.75" customHeight="1" x14ac:dyDescent="0.2">
      <c r="E802" s="3"/>
    </row>
    <row r="803" spans="5:5" ht="12.75" customHeight="1" x14ac:dyDescent="0.2">
      <c r="E803" s="3"/>
    </row>
    <row r="804" spans="5:5" ht="12.75" customHeight="1" x14ac:dyDescent="0.2">
      <c r="E804" s="3"/>
    </row>
    <row r="805" spans="5:5" ht="12.75" customHeight="1" x14ac:dyDescent="0.2">
      <c r="E805" s="3"/>
    </row>
    <row r="806" spans="5:5" ht="12.75" customHeight="1" x14ac:dyDescent="0.2">
      <c r="E806" s="3"/>
    </row>
    <row r="807" spans="5:5" ht="12.75" customHeight="1" x14ac:dyDescent="0.2">
      <c r="E807" s="3"/>
    </row>
    <row r="808" spans="5:5" ht="12.75" customHeight="1" x14ac:dyDescent="0.2">
      <c r="E808" s="3"/>
    </row>
    <row r="809" spans="5:5" ht="12.75" customHeight="1" x14ac:dyDescent="0.2">
      <c r="E809" s="3"/>
    </row>
    <row r="810" spans="5:5" ht="12.75" customHeight="1" x14ac:dyDescent="0.2">
      <c r="E810" s="3"/>
    </row>
    <row r="811" spans="5:5" ht="12.75" customHeight="1" x14ac:dyDescent="0.2">
      <c r="E811" s="3"/>
    </row>
    <row r="812" spans="5:5" ht="12.75" customHeight="1" x14ac:dyDescent="0.2">
      <c r="E812" s="3"/>
    </row>
    <row r="813" spans="5:5" ht="12.75" customHeight="1" x14ac:dyDescent="0.2">
      <c r="E813" s="3"/>
    </row>
    <row r="814" spans="5:5" ht="12.75" customHeight="1" x14ac:dyDescent="0.2">
      <c r="E814" s="3"/>
    </row>
    <row r="815" spans="5:5" ht="12.75" customHeight="1" x14ac:dyDescent="0.2">
      <c r="E815" s="3"/>
    </row>
    <row r="816" spans="5:5" ht="12.75" customHeight="1" x14ac:dyDescent="0.2">
      <c r="E816" s="3"/>
    </row>
    <row r="817" spans="5:5" ht="12.75" customHeight="1" x14ac:dyDescent="0.2">
      <c r="E817" s="3"/>
    </row>
    <row r="818" spans="5:5" ht="12.75" customHeight="1" x14ac:dyDescent="0.2">
      <c r="E818" s="3"/>
    </row>
    <row r="819" spans="5:5" ht="12.75" customHeight="1" x14ac:dyDescent="0.2">
      <c r="E819" s="3"/>
    </row>
    <row r="820" spans="5:5" ht="12.75" customHeight="1" x14ac:dyDescent="0.2">
      <c r="E820" s="3"/>
    </row>
    <row r="821" spans="5:5" ht="12.75" customHeight="1" x14ac:dyDescent="0.2">
      <c r="E821" s="3"/>
    </row>
    <row r="822" spans="5:5" ht="12.75" customHeight="1" x14ac:dyDescent="0.2">
      <c r="E822" s="3"/>
    </row>
    <row r="823" spans="5:5" ht="12.75" customHeight="1" x14ac:dyDescent="0.2">
      <c r="E823" s="3"/>
    </row>
    <row r="824" spans="5:5" ht="12.75" customHeight="1" x14ac:dyDescent="0.2">
      <c r="E824" s="3"/>
    </row>
    <row r="825" spans="5:5" ht="12.75" customHeight="1" x14ac:dyDescent="0.2">
      <c r="E825" s="3"/>
    </row>
    <row r="826" spans="5:5" ht="12.75" customHeight="1" x14ac:dyDescent="0.2">
      <c r="E826" s="3"/>
    </row>
    <row r="827" spans="5:5" ht="12.75" customHeight="1" x14ac:dyDescent="0.2">
      <c r="E827" s="3"/>
    </row>
    <row r="828" spans="5:5" ht="12.75" customHeight="1" x14ac:dyDescent="0.2">
      <c r="E828" s="3"/>
    </row>
    <row r="829" spans="5:5" ht="12.75" customHeight="1" x14ac:dyDescent="0.2">
      <c r="E829" s="3"/>
    </row>
    <row r="830" spans="5:5" ht="12.75" customHeight="1" x14ac:dyDescent="0.2">
      <c r="E830" s="3"/>
    </row>
    <row r="831" spans="5:5" ht="12.75" customHeight="1" x14ac:dyDescent="0.2">
      <c r="E831" s="3"/>
    </row>
    <row r="832" spans="5:5" ht="12.75" customHeight="1" x14ac:dyDescent="0.2">
      <c r="E832" s="3"/>
    </row>
    <row r="833" spans="5:5" ht="12.75" customHeight="1" x14ac:dyDescent="0.2">
      <c r="E833" s="3"/>
    </row>
    <row r="834" spans="5:5" ht="12.75" customHeight="1" x14ac:dyDescent="0.2">
      <c r="E834" s="3"/>
    </row>
    <row r="835" spans="5:5" ht="12.75" customHeight="1" x14ac:dyDescent="0.2">
      <c r="E835" s="3"/>
    </row>
    <row r="836" spans="5:5" ht="12.75" customHeight="1" x14ac:dyDescent="0.2">
      <c r="E836" s="3"/>
    </row>
    <row r="837" spans="5:5" ht="12.75" customHeight="1" x14ac:dyDescent="0.2">
      <c r="E837" s="3"/>
    </row>
    <row r="838" spans="5:5" ht="12.75" customHeight="1" x14ac:dyDescent="0.2">
      <c r="E838" s="3"/>
    </row>
    <row r="839" spans="5:5" ht="12.75" customHeight="1" x14ac:dyDescent="0.2">
      <c r="E839" s="3"/>
    </row>
    <row r="840" spans="5:5" ht="12.75" customHeight="1" x14ac:dyDescent="0.2">
      <c r="E840" s="3"/>
    </row>
    <row r="841" spans="5:5" ht="12.75" customHeight="1" x14ac:dyDescent="0.2">
      <c r="E841" s="3"/>
    </row>
    <row r="842" spans="5:5" ht="12.75" customHeight="1" x14ac:dyDescent="0.2">
      <c r="E842" s="3"/>
    </row>
    <row r="843" spans="5:5" ht="12.75" customHeight="1" x14ac:dyDescent="0.2">
      <c r="E843" s="3"/>
    </row>
    <row r="844" spans="5:5" ht="12.75" customHeight="1" x14ac:dyDescent="0.2">
      <c r="E844" s="3"/>
    </row>
    <row r="845" spans="5:5" ht="12.75" customHeight="1" x14ac:dyDescent="0.2">
      <c r="E845" s="3"/>
    </row>
    <row r="846" spans="5:5" ht="12.75" customHeight="1" x14ac:dyDescent="0.2">
      <c r="E846" s="3"/>
    </row>
    <row r="847" spans="5:5" ht="12.75" customHeight="1" x14ac:dyDescent="0.2">
      <c r="E847" s="3"/>
    </row>
    <row r="848" spans="5:5" ht="12.75" customHeight="1" x14ac:dyDescent="0.2">
      <c r="E848" s="3"/>
    </row>
    <row r="849" spans="5:5" ht="12.75" customHeight="1" x14ac:dyDescent="0.2">
      <c r="E849" s="3"/>
    </row>
    <row r="850" spans="5:5" ht="12.75" customHeight="1" x14ac:dyDescent="0.2">
      <c r="E850" s="3"/>
    </row>
    <row r="851" spans="5:5" ht="12.75" customHeight="1" x14ac:dyDescent="0.2">
      <c r="E851" s="3"/>
    </row>
    <row r="852" spans="5:5" ht="12.75" customHeight="1" x14ac:dyDescent="0.2">
      <c r="E852" s="3"/>
    </row>
    <row r="853" spans="5:5" ht="12.75" customHeight="1" x14ac:dyDescent="0.2">
      <c r="E853" s="3"/>
    </row>
    <row r="854" spans="5:5" ht="12.75" customHeight="1" x14ac:dyDescent="0.2">
      <c r="E854" s="3"/>
    </row>
    <row r="855" spans="5:5" ht="12.75" customHeight="1" x14ac:dyDescent="0.2">
      <c r="E855" s="3"/>
    </row>
    <row r="856" spans="5:5" ht="12.75" customHeight="1" x14ac:dyDescent="0.2">
      <c r="E856" s="3"/>
    </row>
    <row r="857" spans="5:5" ht="12.75" customHeight="1" x14ac:dyDescent="0.2">
      <c r="E857" s="3"/>
    </row>
    <row r="858" spans="5:5" ht="12.75" customHeight="1" x14ac:dyDescent="0.2">
      <c r="E858" s="3"/>
    </row>
    <row r="859" spans="5:5" ht="12.75" customHeight="1" x14ac:dyDescent="0.2">
      <c r="E859" s="3"/>
    </row>
    <row r="860" spans="5:5" ht="12.75" customHeight="1" x14ac:dyDescent="0.2">
      <c r="E860" s="3"/>
    </row>
    <row r="861" spans="5:5" ht="12.75" customHeight="1" x14ac:dyDescent="0.2">
      <c r="E861" s="3"/>
    </row>
    <row r="862" spans="5:5" ht="12.75" customHeight="1" x14ac:dyDescent="0.2">
      <c r="E862" s="3"/>
    </row>
    <row r="863" spans="5:5" ht="12.75" customHeight="1" x14ac:dyDescent="0.2">
      <c r="E863" s="3"/>
    </row>
    <row r="864" spans="5:5" ht="12.75" customHeight="1" x14ac:dyDescent="0.2">
      <c r="E864" s="3"/>
    </row>
    <row r="865" spans="5:5" ht="12.75" customHeight="1" x14ac:dyDescent="0.2">
      <c r="E865" s="3"/>
    </row>
    <row r="866" spans="5:5" ht="12.75" customHeight="1" x14ac:dyDescent="0.2">
      <c r="E866" s="3"/>
    </row>
    <row r="867" spans="5:5" ht="12.75" customHeight="1" x14ac:dyDescent="0.2">
      <c r="E867" s="3"/>
    </row>
    <row r="868" spans="5:5" ht="12.75" customHeight="1" x14ac:dyDescent="0.2">
      <c r="E868" s="3"/>
    </row>
    <row r="869" spans="5:5" ht="12.75" customHeight="1" x14ac:dyDescent="0.2">
      <c r="E869" s="3"/>
    </row>
    <row r="870" spans="5:5" ht="12.75" customHeight="1" x14ac:dyDescent="0.2">
      <c r="E870" s="3"/>
    </row>
    <row r="871" spans="5:5" ht="12.75" customHeight="1" x14ac:dyDescent="0.2">
      <c r="E871" s="3"/>
    </row>
    <row r="872" spans="5:5" ht="12.75" customHeight="1" x14ac:dyDescent="0.2">
      <c r="E872" s="3"/>
    </row>
    <row r="873" spans="5:5" ht="12.75" customHeight="1" x14ac:dyDescent="0.2">
      <c r="E873" s="3"/>
    </row>
    <row r="874" spans="5:5" ht="12.75" customHeight="1" x14ac:dyDescent="0.2">
      <c r="E874" s="3"/>
    </row>
    <row r="875" spans="5:5" ht="12.75" customHeight="1" x14ac:dyDescent="0.2">
      <c r="E875" s="3"/>
    </row>
    <row r="876" spans="5:5" ht="12.75" customHeight="1" x14ac:dyDescent="0.2">
      <c r="E876" s="3"/>
    </row>
    <row r="877" spans="5:5" ht="12.75" customHeight="1" x14ac:dyDescent="0.2">
      <c r="E877" s="3"/>
    </row>
    <row r="878" spans="5:5" ht="12.75" customHeight="1" x14ac:dyDescent="0.2">
      <c r="E878" s="3"/>
    </row>
    <row r="879" spans="5:5" ht="12.75" customHeight="1" x14ac:dyDescent="0.2">
      <c r="E879" s="3"/>
    </row>
    <row r="880" spans="5:5" ht="12.75" customHeight="1" x14ac:dyDescent="0.2">
      <c r="E880" s="3"/>
    </row>
    <row r="881" spans="5:5" ht="12.75" customHeight="1" x14ac:dyDescent="0.2">
      <c r="E881" s="3"/>
    </row>
    <row r="882" spans="5:5" ht="12.75" customHeight="1" x14ac:dyDescent="0.2">
      <c r="E882" s="3"/>
    </row>
    <row r="883" spans="5:5" ht="12.75" customHeight="1" x14ac:dyDescent="0.2">
      <c r="E883" s="3"/>
    </row>
    <row r="884" spans="5:5" ht="12.75" customHeight="1" x14ac:dyDescent="0.2">
      <c r="E884" s="3"/>
    </row>
    <row r="885" spans="5:5" ht="12.75" customHeight="1" x14ac:dyDescent="0.2">
      <c r="E885" s="3"/>
    </row>
    <row r="886" spans="5:5" ht="12.75" customHeight="1" x14ac:dyDescent="0.2">
      <c r="E886" s="3"/>
    </row>
    <row r="887" spans="5:5" ht="12.75" customHeight="1" x14ac:dyDescent="0.2">
      <c r="E887" s="3"/>
    </row>
    <row r="888" spans="5:5" ht="12.75" customHeight="1" x14ac:dyDescent="0.2">
      <c r="E888" s="3"/>
    </row>
    <row r="889" spans="5:5" ht="12.75" customHeight="1" x14ac:dyDescent="0.2">
      <c r="E889" s="3"/>
    </row>
    <row r="890" spans="5:5" ht="12.75" customHeight="1" x14ac:dyDescent="0.2">
      <c r="E890" s="3"/>
    </row>
    <row r="891" spans="5:5" ht="12.75" customHeight="1" x14ac:dyDescent="0.2">
      <c r="E891" s="3"/>
    </row>
    <row r="892" spans="5:5" ht="12.75" customHeight="1" x14ac:dyDescent="0.2">
      <c r="E892" s="3"/>
    </row>
    <row r="893" spans="5:5" ht="12.75" customHeight="1" x14ac:dyDescent="0.2">
      <c r="E893" s="3"/>
    </row>
    <row r="894" spans="5:5" ht="12.75" customHeight="1" x14ac:dyDescent="0.2">
      <c r="E894" s="3"/>
    </row>
    <row r="895" spans="5:5" ht="12.75" customHeight="1" x14ac:dyDescent="0.2">
      <c r="E895" s="3"/>
    </row>
    <row r="896" spans="5:5" ht="12.75" customHeight="1" x14ac:dyDescent="0.2">
      <c r="E896" s="3"/>
    </row>
    <row r="897" spans="5:5" ht="12.75" customHeight="1" x14ac:dyDescent="0.2">
      <c r="E897" s="3"/>
    </row>
    <row r="898" spans="5:5" ht="12.75" customHeight="1" x14ac:dyDescent="0.2">
      <c r="E898" s="3"/>
    </row>
    <row r="899" spans="5:5" ht="12.75" customHeight="1" x14ac:dyDescent="0.2">
      <c r="E899" s="3"/>
    </row>
    <row r="900" spans="5:5" ht="12.75" customHeight="1" x14ac:dyDescent="0.2">
      <c r="E900" s="3"/>
    </row>
    <row r="901" spans="5:5" ht="12.75" customHeight="1" x14ac:dyDescent="0.2">
      <c r="E901" s="3"/>
    </row>
    <row r="902" spans="5:5" ht="12.75" customHeight="1" x14ac:dyDescent="0.2">
      <c r="E902" s="3"/>
    </row>
    <row r="903" spans="5:5" ht="12.75" customHeight="1" x14ac:dyDescent="0.2">
      <c r="E903" s="3"/>
    </row>
    <row r="904" spans="5:5" ht="12.75" customHeight="1" x14ac:dyDescent="0.2">
      <c r="E904" s="3"/>
    </row>
    <row r="905" spans="5:5" ht="12.75" customHeight="1" x14ac:dyDescent="0.2">
      <c r="E905" s="3"/>
    </row>
    <row r="906" spans="5:5" ht="12.75" customHeight="1" x14ac:dyDescent="0.2">
      <c r="E906" s="3"/>
    </row>
    <row r="907" spans="5:5" ht="12.75" customHeight="1" x14ac:dyDescent="0.2">
      <c r="E907" s="3"/>
    </row>
    <row r="908" spans="5:5" ht="12.75" customHeight="1" x14ac:dyDescent="0.2">
      <c r="E908" s="3"/>
    </row>
    <row r="909" spans="5:5" ht="12.75" customHeight="1" x14ac:dyDescent="0.2">
      <c r="E909" s="3"/>
    </row>
    <row r="910" spans="5:5" ht="12.75" customHeight="1" x14ac:dyDescent="0.2">
      <c r="E910" s="3"/>
    </row>
    <row r="911" spans="5:5" ht="12.75" customHeight="1" x14ac:dyDescent="0.2">
      <c r="E911" s="3"/>
    </row>
    <row r="912" spans="5:5" ht="12.75" customHeight="1" x14ac:dyDescent="0.2">
      <c r="E912" s="3"/>
    </row>
    <row r="913" spans="5:5" ht="12.75" customHeight="1" x14ac:dyDescent="0.2">
      <c r="E913" s="3"/>
    </row>
    <row r="914" spans="5:5" ht="12.75" customHeight="1" x14ac:dyDescent="0.2">
      <c r="E914" s="3"/>
    </row>
    <row r="915" spans="5:5" ht="12.75" customHeight="1" x14ac:dyDescent="0.2">
      <c r="E915" s="3"/>
    </row>
    <row r="916" spans="5:5" ht="12.75" customHeight="1" x14ac:dyDescent="0.2">
      <c r="E916" s="3"/>
    </row>
    <row r="917" spans="5:5" ht="12.75" customHeight="1" x14ac:dyDescent="0.2">
      <c r="E917" s="3"/>
    </row>
    <row r="918" spans="5:5" ht="12.75" customHeight="1" x14ac:dyDescent="0.2">
      <c r="E918" s="3"/>
    </row>
    <row r="919" spans="5:5" ht="12.75" customHeight="1" x14ac:dyDescent="0.2">
      <c r="E919" s="3"/>
    </row>
    <row r="920" spans="5:5" ht="12.75" customHeight="1" x14ac:dyDescent="0.2">
      <c r="E920" s="3"/>
    </row>
    <row r="921" spans="5:5" ht="12.75" customHeight="1" x14ac:dyDescent="0.2">
      <c r="E921" s="3"/>
    </row>
    <row r="922" spans="5:5" ht="12.75" customHeight="1" x14ac:dyDescent="0.2">
      <c r="E922" s="3"/>
    </row>
    <row r="923" spans="5:5" ht="12.75" customHeight="1" x14ac:dyDescent="0.2">
      <c r="E923" s="3"/>
    </row>
    <row r="924" spans="5:5" ht="12.75" customHeight="1" x14ac:dyDescent="0.2">
      <c r="E924" s="3"/>
    </row>
    <row r="925" spans="5:5" ht="12.75" customHeight="1" x14ac:dyDescent="0.2">
      <c r="E925" s="3"/>
    </row>
    <row r="926" spans="5:5" ht="12.75" customHeight="1" x14ac:dyDescent="0.2">
      <c r="E926" s="3"/>
    </row>
    <row r="927" spans="5:5" ht="12.75" customHeight="1" x14ac:dyDescent="0.2">
      <c r="E927" s="3"/>
    </row>
    <row r="928" spans="5:5" ht="12.75" customHeight="1" x14ac:dyDescent="0.2">
      <c r="E928" s="3"/>
    </row>
    <row r="929" spans="5:5" ht="12.75" customHeight="1" x14ac:dyDescent="0.2">
      <c r="E929" s="3"/>
    </row>
    <row r="930" spans="5:5" ht="12.75" customHeight="1" x14ac:dyDescent="0.2">
      <c r="E930" s="3"/>
    </row>
    <row r="931" spans="5:5" ht="12.75" customHeight="1" x14ac:dyDescent="0.2">
      <c r="E931" s="3"/>
    </row>
    <row r="932" spans="5:5" ht="12.75" customHeight="1" x14ac:dyDescent="0.2">
      <c r="E932" s="3"/>
    </row>
    <row r="933" spans="5:5" ht="12.75" customHeight="1" x14ac:dyDescent="0.2">
      <c r="E933" s="3"/>
    </row>
    <row r="934" spans="5:5" ht="12.75" customHeight="1" x14ac:dyDescent="0.2">
      <c r="E934" s="3"/>
    </row>
    <row r="935" spans="5:5" ht="12.75" customHeight="1" x14ac:dyDescent="0.2">
      <c r="E935" s="3"/>
    </row>
    <row r="936" spans="5:5" ht="12.75" customHeight="1" x14ac:dyDescent="0.2">
      <c r="E936" s="3"/>
    </row>
    <row r="937" spans="5:5" ht="12.75" customHeight="1" x14ac:dyDescent="0.2">
      <c r="E937" s="3"/>
    </row>
    <row r="938" spans="5:5" ht="12.75" customHeight="1" x14ac:dyDescent="0.2">
      <c r="E938" s="3"/>
    </row>
    <row r="939" spans="5:5" ht="12.75" customHeight="1" x14ac:dyDescent="0.2">
      <c r="E939" s="3"/>
    </row>
    <row r="940" spans="5:5" ht="12.75" customHeight="1" x14ac:dyDescent="0.2">
      <c r="E940" s="3"/>
    </row>
    <row r="941" spans="5:5" ht="12.75" customHeight="1" x14ac:dyDescent="0.2">
      <c r="E941" s="3"/>
    </row>
    <row r="942" spans="5:5" ht="12.75" customHeight="1" x14ac:dyDescent="0.2">
      <c r="E942" s="3"/>
    </row>
    <row r="943" spans="5:5" ht="12.75" customHeight="1" x14ac:dyDescent="0.2">
      <c r="E943" s="3"/>
    </row>
    <row r="944" spans="5:5" ht="12.75" customHeight="1" x14ac:dyDescent="0.2">
      <c r="E944" s="3"/>
    </row>
    <row r="945" spans="5:5" ht="12.75" customHeight="1" x14ac:dyDescent="0.2">
      <c r="E945" s="3"/>
    </row>
    <row r="946" spans="5:5" ht="12.75" customHeight="1" x14ac:dyDescent="0.2">
      <c r="E946" s="3"/>
    </row>
    <row r="947" spans="5:5" ht="12.75" customHeight="1" x14ac:dyDescent="0.2">
      <c r="E947" s="3"/>
    </row>
    <row r="948" spans="5:5" ht="12.75" customHeight="1" x14ac:dyDescent="0.2">
      <c r="E948" s="3"/>
    </row>
    <row r="949" spans="5:5" ht="12.75" customHeight="1" x14ac:dyDescent="0.2">
      <c r="E949" s="3"/>
    </row>
    <row r="950" spans="5:5" ht="12.75" customHeight="1" x14ac:dyDescent="0.2">
      <c r="E950" s="3"/>
    </row>
    <row r="951" spans="5:5" ht="12.75" customHeight="1" x14ac:dyDescent="0.2">
      <c r="E951" s="3"/>
    </row>
    <row r="952" spans="5:5" ht="12.75" customHeight="1" x14ac:dyDescent="0.2">
      <c r="E952" s="3"/>
    </row>
    <row r="953" spans="5:5" ht="12.75" customHeight="1" x14ac:dyDescent="0.2">
      <c r="E953" s="3"/>
    </row>
    <row r="954" spans="5:5" ht="12.75" customHeight="1" x14ac:dyDescent="0.2">
      <c r="E954" s="3"/>
    </row>
    <row r="955" spans="5:5" ht="12.75" customHeight="1" x14ac:dyDescent="0.2">
      <c r="E955" s="3"/>
    </row>
    <row r="956" spans="5:5" ht="12.75" customHeight="1" x14ac:dyDescent="0.2">
      <c r="E956" s="3"/>
    </row>
    <row r="957" spans="5:5" ht="12.75" customHeight="1" x14ac:dyDescent="0.2">
      <c r="E957" s="3"/>
    </row>
    <row r="958" spans="5:5" ht="12.75" customHeight="1" x14ac:dyDescent="0.2">
      <c r="E958" s="3"/>
    </row>
    <row r="959" spans="5:5" ht="12.75" customHeight="1" x14ac:dyDescent="0.2">
      <c r="E959" s="3"/>
    </row>
    <row r="960" spans="5:5" ht="12.75" customHeight="1" x14ac:dyDescent="0.2">
      <c r="E960" s="3"/>
    </row>
    <row r="961" spans="5:5" ht="12.75" customHeight="1" x14ac:dyDescent="0.2">
      <c r="E961" s="3"/>
    </row>
    <row r="962" spans="5:5" ht="12.75" customHeight="1" x14ac:dyDescent="0.2">
      <c r="E962" s="3"/>
    </row>
    <row r="963" spans="5:5" ht="12.75" customHeight="1" x14ac:dyDescent="0.2">
      <c r="E963" s="3"/>
    </row>
    <row r="964" spans="5:5" ht="12.75" customHeight="1" x14ac:dyDescent="0.2">
      <c r="E964" s="3"/>
    </row>
    <row r="965" spans="5:5" ht="12.75" customHeight="1" x14ac:dyDescent="0.2">
      <c r="E965" s="3"/>
    </row>
    <row r="966" spans="5:5" ht="12.75" customHeight="1" x14ac:dyDescent="0.2">
      <c r="E966" s="3"/>
    </row>
    <row r="967" spans="5:5" ht="12.75" customHeight="1" x14ac:dyDescent="0.2">
      <c r="E967" s="3"/>
    </row>
    <row r="968" spans="5:5" ht="12.75" customHeight="1" x14ac:dyDescent="0.2">
      <c r="E968" s="3"/>
    </row>
    <row r="969" spans="5:5" ht="12.75" customHeight="1" x14ac:dyDescent="0.2">
      <c r="E969" s="3"/>
    </row>
    <row r="970" spans="5:5" ht="12.75" customHeight="1" x14ac:dyDescent="0.2">
      <c r="E970" s="3"/>
    </row>
    <row r="971" spans="5:5" ht="12.75" customHeight="1" x14ac:dyDescent="0.2">
      <c r="E971" s="3"/>
    </row>
    <row r="972" spans="5:5" ht="12.75" customHeight="1" x14ac:dyDescent="0.2">
      <c r="E972" s="3"/>
    </row>
    <row r="973" spans="5:5" ht="12.75" customHeight="1" x14ac:dyDescent="0.2">
      <c r="E973" s="3"/>
    </row>
    <row r="974" spans="5:5" ht="12.75" customHeight="1" x14ac:dyDescent="0.2">
      <c r="E974" s="3"/>
    </row>
    <row r="975" spans="5:5" ht="12.75" customHeight="1" x14ac:dyDescent="0.2">
      <c r="E975" s="3"/>
    </row>
    <row r="976" spans="5:5" ht="12.75" customHeight="1" x14ac:dyDescent="0.2">
      <c r="E976" s="3"/>
    </row>
    <row r="977" spans="5:5" ht="12.75" customHeight="1" x14ac:dyDescent="0.2">
      <c r="E977" s="3"/>
    </row>
    <row r="978" spans="5:5" ht="12.75" customHeight="1" x14ac:dyDescent="0.2">
      <c r="E978" s="3"/>
    </row>
    <row r="979" spans="5:5" ht="12.75" customHeight="1" x14ac:dyDescent="0.2">
      <c r="E979" s="3"/>
    </row>
    <row r="980" spans="5:5" ht="12.75" customHeight="1" x14ac:dyDescent="0.2">
      <c r="E980" s="3"/>
    </row>
    <row r="981" spans="5:5" ht="12.75" customHeight="1" x14ac:dyDescent="0.2">
      <c r="E981" s="3"/>
    </row>
    <row r="982" spans="5:5" ht="12.75" customHeight="1" x14ac:dyDescent="0.2">
      <c r="E982" s="3"/>
    </row>
    <row r="983" spans="5:5" ht="12.75" customHeight="1" x14ac:dyDescent="0.2">
      <c r="E983" s="3"/>
    </row>
    <row r="984" spans="5:5" ht="12.75" customHeight="1" x14ac:dyDescent="0.2">
      <c r="E984" s="3"/>
    </row>
    <row r="985" spans="5:5" ht="12.75" customHeight="1" x14ac:dyDescent="0.2">
      <c r="E985" s="3"/>
    </row>
    <row r="986" spans="5:5" ht="12.75" customHeight="1" x14ac:dyDescent="0.2">
      <c r="E986" s="3"/>
    </row>
    <row r="987" spans="5:5" ht="12.75" customHeight="1" x14ac:dyDescent="0.2">
      <c r="E987" s="3"/>
    </row>
    <row r="988" spans="5:5" ht="12.75" customHeight="1" x14ac:dyDescent="0.2">
      <c r="E988" s="3"/>
    </row>
    <row r="989" spans="5:5" ht="12.75" customHeight="1" x14ac:dyDescent="0.2">
      <c r="E989" s="3"/>
    </row>
    <row r="990" spans="5:5" ht="12.75" customHeight="1" x14ac:dyDescent="0.2">
      <c r="E990" s="3"/>
    </row>
    <row r="991" spans="5:5" ht="12.75" customHeight="1" x14ac:dyDescent="0.2">
      <c r="E991" s="3"/>
    </row>
    <row r="992" spans="5:5" ht="12.75" customHeight="1" x14ac:dyDescent="0.2">
      <c r="E992" s="3"/>
    </row>
    <row r="993" spans="5:5" ht="12.75" customHeight="1" x14ac:dyDescent="0.2">
      <c r="E993" s="3"/>
    </row>
    <row r="994" spans="5:5" ht="12.75" customHeight="1" x14ac:dyDescent="0.2">
      <c r="E994" s="3"/>
    </row>
    <row r="995" spans="5:5" ht="12.75" customHeight="1" x14ac:dyDescent="0.2">
      <c r="E995" s="3"/>
    </row>
    <row r="996" spans="5:5" ht="12.75" customHeight="1" x14ac:dyDescent="0.2">
      <c r="E996" s="3"/>
    </row>
    <row r="997" spans="5:5" ht="12.75" customHeight="1" x14ac:dyDescent="0.2">
      <c r="E997" s="3"/>
    </row>
    <row r="998" spans="5:5" ht="12.75" customHeight="1" x14ac:dyDescent="0.2">
      <c r="E998" s="3"/>
    </row>
    <row r="999" spans="5:5" ht="12.75" customHeight="1" x14ac:dyDescent="0.2">
      <c r="E999" s="3"/>
    </row>
    <row r="1000" spans="5:5" ht="12.75" customHeight="1" x14ac:dyDescent="0.2">
      <c r="E1000" s="3"/>
    </row>
  </sheetData>
  <mergeCells count="6">
    <mergeCell ref="D2:H2"/>
    <mergeCell ref="A5:J5"/>
    <mergeCell ref="A13:J13"/>
    <mergeCell ref="E17:I17"/>
    <mergeCell ref="E28:I28"/>
    <mergeCell ref="E43:I43"/>
  </mergeCells>
  <hyperlinks>
    <hyperlink ref="C8" r:id="rId1" xr:uid="{3DA83E8A-299B-4431-9778-FF9A19D681FD}"/>
    <hyperlink ref="C9" r:id="rId2" xr:uid="{15F4A1D1-EE95-46A4-A17E-737A3C66B71B}"/>
    <hyperlink ref="C10" r:id="rId3" xr:uid="{515ACFB6-B43E-4E68-B9AE-A7DAB264386C}"/>
    <hyperlink ref="C21" r:id="rId4" xr:uid="{037403BB-0EC8-4C5C-97FB-74E36BF33803}"/>
    <hyperlink ref="C22" r:id="rId5" xr:uid="{956B8A1A-7DB7-47EA-8D9E-965F746DC6D9}"/>
    <hyperlink ref="C23" r:id="rId6" xr:uid="{54A5D9C6-04FE-4DD3-9682-1D8C1BB960CB}"/>
    <hyperlink ref="C36" r:id="rId7" xr:uid="{6CE6E9BF-2337-431B-BE6D-BFFB54514EB1}"/>
    <hyperlink ref="C37" r:id="rId8" xr:uid="{B22BA596-18E4-4A69-83D3-4C94B87C2D43}"/>
    <hyperlink ref="C38" r:id="rId9" xr:uid="{C69A7CA9-1583-4119-B84E-B4FD028E1932}"/>
    <hyperlink ref="C47" r:id="rId10" xr:uid="{1C49E3F7-6B64-4B7D-BE59-515B48501D18}"/>
    <hyperlink ref="C48" r:id="rId11" xr:uid="{53786AD8-AD7D-450C-832D-5EE8326D37AB}"/>
    <hyperlink ref="C49" r:id="rId12" xr:uid="{3CF20445-3303-48BF-84F7-FF8F1A3A9DE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election activeCell="B14" sqref="B14"/>
    </sheetView>
  </sheetViews>
  <sheetFormatPr baseColWidth="10" defaultColWidth="12.5703125" defaultRowHeight="15" customHeight="1" x14ac:dyDescent="0.2"/>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x14ac:dyDescent="0.2">
      <c r="A1" s="2"/>
      <c r="B1" s="2"/>
      <c r="C1" s="2"/>
      <c r="D1" s="2"/>
      <c r="E1" s="2"/>
      <c r="F1" s="2"/>
      <c r="G1" s="2"/>
      <c r="H1" s="2"/>
      <c r="I1" s="2"/>
      <c r="J1" s="2"/>
      <c r="K1" s="2"/>
      <c r="L1" s="2"/>
      <c r="M1" s="2"/>
      <c r="N1" s="2"/>
      <c r="O1" s="2"/>
      <c r="P1" s="2"/>
      <c r="Q1" s="2"/>
      <c r="R1" s="2"/>
      <c r="S1" s="2"/>
      <c r="T1" s="2"/>
      <c r="U1" s="2"/>
      <c r="V1" s="2"/>
      <c r="W1" s="2"/>
      <c r="X1" s="2"/>
      <c r="Y1" s="2"/>
      <c r="Z1" s="2"/>
    </row>
    <row r="2" spans="1:26" ht="27.75" customHeight="1" x14ac:dyDescent="0.2">
      <c r="A2" s="2"/>
      <c r="B2" s="2"/>
      <c r="C2" s="2"/>
      <c r="D2" s="89" t="s">
        <v>0</v>
      </c>
      <c r="E2" s="90"/>
      <c r="F2" s="90"/>
      <c r="G2" s="90"/>
      <c r="H2" s="90"/>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75.75" customHeight="1" x14ac:dyDescent="0.2">
      <c r="A7" s="4" t="s">
        <v>2</v>
      </c>
      <c r="B7" s="5" t="s">
        <v>121</v>
      </c>
      <c r="C7" s="5" t="s">
        <v>122</v>
      </c>
      <c r="D7" s="5" t="s">
        <v>123</v>
      </c>
      <c r="E7" s="5" t="s">
        <v>124</v>
      </c>
      <c r="F7" s="8" t="s">
        <v>125</v>
      </c>
      <c r="G7" s="9" t="s">
        <v>126</v>
      </c>
      <c r="H7" s="5" t="s">
        <v>9</v>
      </c>
      <c r="I7" s="5" t="s">
        <v>127</v>
      </c>
      <c r="J7" s="5" t="s">
        <v>128</v>
      </c>
      <c r="K7" s="11"/>
      <c r="L7" s="11"/>
      <c r="M7" s="11"/>
      <c r="N7" s="11"/>
      <c r="O7" s="11"/>
      <c r="P7" s="11"/>
      <c r="Q7" s="11"/>
      <c r="R7" s="11"/>
      <c r="S7" s="11"/>
      <c r="T7" s="11"/>
      <c r="U7" s="11"/>
      <c r="V7" s="11"/>
      <c r="W7" s="11"/>
      <c r="X7" s="11"/>
      <c r="Y7" s="11"/>
      <c r="Z7" s="11"/>
    </row>
    <row r="8" spans="1:26" ht="50.25" customHeight="1" x14ac:dyDescent="0.2">
      <c r="A8" s="42" t="s">
        <v>12</v>
      </c>
      <c r="B8" s="43" t="s">
        <v>44</v>
      </c>
      <c r="C8" s="64" t="s">
        <v>129</v>
      </c>
      <c r="D8" s="65" t="s">
        <v>88</v>
      </c>
      <c r="E8" s="46">
        <v>1899900</v>
      </c>
      <c r="F8" s="46">
        <f>E8*19%</f>
        <v>360981</v>
      </c>
      <c r="G8" s="46">
        <f>E8+F8</f>
        <v>2260881</v>
      </c>
      <c r="H8" s="46">
        <f>G8</f>
        <v>2260881</v>
      </c>
      <c r="I8" s="43" t="s">
        <v>16</v>
      </c>
      <c r="J8" s="43"/>
      <c r="K8" s="2"/>
      <c r="L8" s="2"/>
      <c r="M8" s="2"/>
      <c r="N8" s="2"/>
      <c r="O8" s="2"/>
      <c r="P8" s="2"/>
      <c r="Q8" s="2"/>
      <c r="R8" s="2"/>
      <c r="S8" s="2"/>
      <c r="T8" s="2"/>
      <c r="U8" s="2"/>
      <c r="V8" s="2"/>
      <c r="W8" s="2"/>
      <c r="X8" s="2"/>
      <c r="Y8" s="2"/>
      <c r="Z8" s="2"/>
    </row>
    <row r="9" spans="1:26" ht="50.25" customHeight="1" x14ac:dyDescent="0.2">
      <c r="A9" s="12" t="s">
        <v>18</v>
      </c>
      <c r="B9" s="52" t="s">
        <v>89</v>
      </c>
      <c r="C9" s="66" t="s">
        <v>90</v>
      </c>
      <c r="D9" s="40" t="s">
        <v>91</v>
      </c>
      <c r="E9" s="38">
        <v>2489000</v>
      </c>
      <c r="F9" s="39">
        <f t="shared" ref="F9:H9" si="0">E9</f>
        <v>2489000</v>
      </c>
      <c r="G9" s="39">
        <f t="shared" si="0"/>
        <v>2489000</v>
      </c>
      <c r="H9" s="39">
        <f t="shared" si="0"/>
        <v>2489000</v>
      </c>
      <c r="I9" s="40" t="s">
        <v>16</v>
      </c>
      <c r="J9" s="40" t="s">
        <v>92</v>
      </c>
      <c r="K9" s="2"/>
      <c r="L9" s="2"/>
      <c r="M9" s="2"/>
      <c r="N9" s="2"/>
      <c r="O9" s="2"/>
      <c r="P9" s="2"/>
      <c r="Q9" s="2"/>
      <c r="R9" s="2"/>
      <c r="S9" s="2"/>
      <c r="T9" s="2"/>
      <c r="U9" s="2"/>
      <c r="V9" s="2"/>
      <c r="W9" s="2"/>
      <c r="X9" s="2"/>
      <c r="Y9" s="2"/>
      <c r="Z9" s="2"/>
    </row>
    <row r="10" spans="1:26" ht="50.25" customHeight="1" x14ac:dyDescent="0.2">
      <c r="A10" s="12" t="s">
        <v>23</v>
      </c>
      <c r="B10" s="40" t="s">
        <v>93</v>
      </c>
      <c r="C10" s="67" t="s">
        <v>94</v>
      </c>
      <c r="D10" s="102" t="s">
        <v>95</v>
      </c>
      <c r="E10" s="38">
        <v>3599000</v>
      </c>
      <c r="F10" s="39">
        <f>E10*19%</f>
        <v>683810</v>
      </c>
      <c r="G10" s="39">
        <f>E10+F10</f>
        <v>4282810</v>
      </c>
      <c r="H10" s="39">
        <f>G10</f>
        <v>4282810</v>
      </c>
      <c r="I10" s="40" t="s">
        <v>16</v>
      </c>
      <c r="J10" s="40" t="s">
        <v>96</v>
      </c>
      <c r="K10" s="2"/>
      <c r="L10" s="2"/>
      <c r="M10" s="2"/>
      <c r="N10" s="2"/>
      <c r="O10" s="2"/>
      <c r="P10" s="2"/>
      <c r="Q10" s="2"/>
      <c r="R10" s="2"/>
      <c r="S10" s="2"/>
      <c r="T10" s="2"/>
      <c r="U10" s="2"/>
      <c r="V10" s="2"/>
      <c r="W10" s="2"/>
      <c r="X10" s="2"/>
      <c r="Y10" s="2"/>
      <c r="Z10" s="2"/>
    </row>
    <row r="11" spans="1:26" ht="15" hidden="1" customHeight="1" x14ac:dyDescent="0.2">
      <c r="A11" s="30"/>
      <c r="B11" s="31"/>
      <c r="C11" s="31"/>
      <c r="D11" s="31"/>
      <c r="E11" s="31"/>
      <c r="F11" s="31"/>
      <c r="G11" s="31"/>
      <c r="H11" s="31"/>
      <c r="I11" s="31"/>
      <c r="J11" s="31"/>
      <c r="K11" s="2"/>
      <c r="L11" s="2"/>
      <c r="M11" s="2"/>
      <c r="N11" s="2"/>
      <c r="O11" s="2"/>
      <c r="P11" s="2"/>
      <c r="Q11" s="2"/>
      <c r="R11" s="2"/>
      <c r="S11" s="2"/>
      <c r="T11" s="2"/>
      <c r="U11" s="2"/>
      <c r="V11" s="2"/>
      <c r="W11" s="2"/>
      <c r="X11" s="2"/>
      <c r="Y11" s="2"/>
      <c r="Z11" s="2"/>
    </row>
    <row r="12" spans="1:26" ht="12.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8.75" customHeight="1" x14ac:dyDescent="0.2">
      <c r="A13" s="94" t="s">
        <v>130</v>
      </c>
      <c r="B13" s="92"/>
      <c r="C13" s="92"/>
      <c r="D13" s="92"/>
      <c r="E13" s="92"/>
      <c r="F13" s="92"/>
      <c r="G13" s="92"/>
      <c r="H13" s="92"/>
      <c r="I13" s="92"/>
      <c r="J13" s="93"/>
      <c r="K13" s="2"/>
      <c r="L13" s="2"/>
      <c r="M13" s="2"/>
      <c r="N13" s="2"/>
      <c r="O13" s="2"/>
      <c r="P13" s="2"/>
      <c r="Q13" s="2"/>
      <c r="R13" s="2"/>
      <c r="S13" s="2"/>
      <c r="T13" s="2"/>
      <c r="U13" s="2"/>
      <c r="V13" s="2"/>
      <c r="W13" s="2"/>
      <c r="X13" s="2"/>
      <c r="Y13" s="2"/>
      <c r="Z13" s="2"/>
    </row>
    <row r="14" spans="1:26" ht="12.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
      <c r="A15" s="103"/>
      <c r="B15" s="104"/>
      <c r="C15" s="104"/>
      <c r="D15" s="104"/>
      <c r="E15" s="104"/>
      <c r="F15" s="104"/>
      <c r="G15" s="104"/>
      <c r="H15" s="104"/>
      <c r="I15" s="104"/>
      <c r="J15" s="104"/>
      <c r="K15" s="2"/>
      <c r="L15" s="2"/>
      <c r="M15" s="2"/>
      <c r="N15" s="2"/>
      <c r="O15" s="2"/>
      <c r="P15" s="2"/>
      <c r="Q15" s="2"/>
      <c r="R15" s="2"/>
      <c r="S15" s="2"/>
      <c r="T15" s="2"/>
      <c r="U15" s="2"/>
      <c r="V15" s="2"/>
      <c r="W15" s="2"/>
      <c r="X15" s="2"/>
      <c r="Y15" s="2"/>
      <c r="Z15" s="2"/>
    </row>
    <row r="16" spans="1:26" ht="12.75" customHeight="1" x14ac:dyDescent="0.2">
      <c r="A16" s="2"/>
      <c r="B16" s="2"/>
      <c r="C16" s="2"/>
      <c r="D16" s="97" t="s">
        <v>175</v>
      </c>
      <c r="E16" s="90"/>
      <c r="F16" s="90"/>
      <c r="G16" s="90"/>
      <c r="H16" s="90"/>
      <c r="I16" s="2"/>
      <c r="J16" s="2"/>
      <c r="K16" s="2"/>
      <c r="L16" s="2"/>
      <c r="M16" s="2"/>
      <c r="N16" s="2"/>
      <c r="O16" s="2"/>
      <c r="P16" s="2"/>
      <c r="Q16" s="2"/>
      <c r="R16" s="2"/>
      <c r="S16" s="2"/>
      <c r="T16" s="2"/>
      <c r="U16" s="2"/>
      <c r="V16" s="2"/>
      <c r="W16" s="2"/>
      <c r="X16" s="2"/>
      <c r="Y16" s="2"/>
      <c r="Z16" s="2"/>
    </row>
    <row r="17" spans="1:10" ht="12.75" customHeight="1" x14ac:dyDescent="0.2">
      <c r="D17" s="2"/>
      <c r="E17" s="2"/>
      <c r="F17" s="2"/>
      <c r="G17" s="2"/>
    </row>
    <row r="18" spans="1:10" ht="0.75" customHeight="1" x14ac:dyDescent="0.2">
      <c r="D18" s="2"/>
      <c r="E18" s="2"/>
      <c r="F18" s="2"/>
      <c r="G18" s="2"/>
    </row>
    <row r="19" spans="1:10" ht="12.75" hidden="1" customHeight="1" x14ac:dyDescent="0.2">
      <c r="D19" s="2"/>
      <c r="E19" s="2"/>
      <c r="F19" s="2"/>
      <c r="G19" s="2"/>
    </row>
    <row r="20" spans="1:10" ht="88.5" customHeight="1" x14ac:dyDescent="0.2">
      <c r="A20" s="4" t="s">
        <v>2</v>
      </c>
      <c r="B20" s="6" t="s">
        <v>29</v>
      </c>
      <c r="C20" s="6" t="s">
        <v>30</v>
      </c>
      <c r="D20" s="10" t="s">
        <v>31</v>
      </c>
      <c r="E20" s="6" t="s">
        <v>32</v>
      </c>
      <c r="F20" s="8" t="s">
        <v>33</v>
      </c>
      <c r="G20" s="9" t="s">
        <v>60</v>
      </c>
      <c r="H20" s="6" t="s">
        <v>9</v>
      </c>
      <c r="I20" s="6" t="s">
        <v>35</v>
      </c>
      <c r="J20" s="6" t="s">
        <v>36</v>
      </c>
    </row>
    <row r="21" spans="1:10" ht="63" customHeight="1" x14ac:dyDescent="0.2">
      <c r="A21" s="12" t="s">
        <v>12</v>
      </c>
      <c r="B21" s="72" t="s">
        <v>49</v>
      </c>
      <c r="C21" s="55" t="s">
        <v>61</v>
      </c>
      <c r="D21" s="56" t="s">
        <v>62</v>
      </c>
      <c r="E21" s="63">
        <v>229900</v>
      </c>
      <c r="F21" s="39">
        <f>E21*19%</f>
        <v>43681</v>
      </c>
      <c r="G21" s="39">
        <f>E21+F21</f>
        <v>273581</v>
      </c>
      <c r="H21" s="39">
        <f>G21</f>
        <v>273581</v>
      </c>
      <c r="I21" s="72" t="s">
        <v>16</v>
      </c>
      <c r="J21" s="72" t="s">
        <v>63</v>
      </c>
    </row>
    <row r="22" spans="1:10" ht="70.5" customHeight="1" x14ac:dyDescent="0.2">
      <c r="A22" s="12" t="s">
        <v>18</v>
      </c>
      <c r="B22" s="82" t="s">
        <v>44</v>
      </c>
      <c r="C22" s="58" t="s">
        <v>53</v>
      </c>
      <c r="D22" s="59" t="s">
        <v>54</v>
      </c>
      <c r="E22" s="39">
        <v>79000</v>
      </c>
      <c r="F22" s="39">
        <v>15010</v>
      </c>
      <c r="G22" s="39">
        <f t="shared" ref="G22:G23" si="1">E22</f>
        <v>79000</v>
      </c>
      <c r="H22" s="39">
        <f>E22</f>
        <v>79000</v>
      </c>
      <c r="I22" s="72" t="s">
        <v>16</v>
      </c>
      <c r="J22" s="72" t="s">
        <v>64</v>
      </c>
    </row>
    <row r="23" spans="1:10" ht="76.5" customHeight="1" x14ac:dyDescent="0.2">
      <c r="A23" s="42" t="s">
        <v>23</v>
      </c>
      <c r="B23" s="61" t="s">
        <v>65</v>
      </c>
      <c r="C23" s="60" t="s">
        <v>66</v>
      </c>
      <c r="D23" s="61" t="s">
        <v>67</v>
      </c>
      <c r="E23" s="46">
        <v>65518</v>
      </c>
      <c r="F23" s="46">
        <v>0</v>
      </c>
      <c r="G23" s="46">
        <f t="shared" si="1"/>
        <v>65518</v>
      </c>
      <c r="H23" s="46">
        <f>G23</f>
        <v>65518</v>
      </c>
      <c r="I23" s="61" t="s">
        <v>16</v>
      </c>
      <c r="J23" s="61"/>
    </row>
    <row r="24" spans="1:10" ht="12.75" customHeight="1" x14ac:dyDescent="0.2">
      <c r="D24" s="2"/>
      <c r="E24" s="2"/>
      <c r="F24" s="2"/>
      <c r="G24" s="2"/>
    </row>
    <row r="25" spans="1:10" ht="12.75" customHeight="1" x14ac:dyDescent="0.2">
      <c r="D25" s="2"/>
      <c r="E25" s="2"/>
      <c r="F25" s="2"/>
      <c r="G25" s="2"/>
    </row>
    <row r="26" spans="1:10" ht="12.75" customHeight="1" x14ac:dyDescent="0.2">
      <c r="D26" s="97" t="s">
        <v>173</v>
      </c>
      <c r="E26" s="90"/>
      <c r="F26" s="90"/>
      <c r="G26" s="90"/>
      <c r="H26" s="90"/>
    </row>
    <row r="27" spans="1:10" ht="12.75" customHeight="1" x14ac:dyDescent="0.2">
      <c r="D27" s="2"/>
      <c r="E27" s="2"/>
      <c r="F27" s="2"/>
      <c r="G27" s="2"/>
    </row>
    <row r="28" spans="1:10" ht="12.75" customHeight="1" x14ac:dyDescent="0.2">
      <c r="D28" s="2"/>
      <c r="E28" s="2"/>
      <c r="F28" s="2"/>
      <c r="G28" s="2"/>
    </row>
    <row r="29" spans="1:10" ht="62.25" customHeight="1" x14ac:dyDescent="0.2">
      <c r="A29" s="4" t="s">
        <v>2</v>
      </c>
      <c r="B29" s="6" t="s">
        <v>29</v>
      </c>
      <c r="C29" s="6" t="s">
        <v>30</v>
      </c>
      <c r="D29" s="6" t="s">
        <v>31</v>
      </c>
      <c r="E29" s="6" t="s">
        <v>32</v>
      </c>
      <c r="F29" s="8" t="s">
        <v>33</v>
      </c>
      <c r="G29" s="9" t="s">
        <v>34</v>
      </c>
      <c r="H29" s="6" t="s">
        <v>9</v>
      </c>
      <c r="I29" s="6" t="s">
        <v>35</v>
      </c>
      <c r="J29" s="6" t="s">
        <v>36</v>
      </c>
    </row>
    <row r="30" spans="1:10" ht="51.75" customHeight="1" x14ac:dyDescent="0.2">
      <c r="A30" s="12" t="s">
        <v>12</v>
      </c>
      <c r="B30" s="72" t="s">
        <v>131</v>
      </c>
      <c r="C30" s="78" t="s">
        <v>132</v>
      </c>
      <c r="D30" s="72" t="s">
        <v>133</v>
      </c>
      <c r="E30" s="39">
        <v>480000</v>
      </c>
      <c r="F30" s="39">
        <f>E30*19%</f>
        <v>91200</v>
      </c>
      <c r="G30" s="39">
        <f>E30+F30</f>
        <v>571200</v>
      </c>
      <c r="H30" s="39">
        <f>G30</f>
        <v>571200</v>
      </c>
      <c r="I30" s="72" t="s">
        <v>16</v>
      </c>
      <c r="J30" s="72" t="s">
        <v>134</v>
      </c>
    </row>
    <row r="31" spans="1:10" ht="67.5" customHeight="1" x14ac:dyDescent="0.2">
      <c r="A31" s="42" t="s">
        <v>18</v>
      </c>
      <c r="B31" s="79" t="s">
        <v>135</v>
      </c>
      <c r="C31" s="80" t="s">
        <v>136</v>
      </c>
      <c r="D31" s="61" t="s">
        <v>137</v>
      </c>
      <c r="E31" s="46">
        <v>166291</v>
      </c>
      <c r="F31" s="46">
        <f t="shared" ref="F31:H31" si="2">E31</f>
        <v>166291</v>
      </c>
      <c r="G31" s="46">
        <f t="shared" si="2"/>
        <v>166291</v>
      </c>
      <c r="H31" s="46">
        <f t="shared" si="2"/>
        <v>166291</v>
      </c>
      <c r="I31" s="61" t="s">
        <v>16</v>
      </c>
      <c r="J31" s="47"/>
    </row>
    <row r="32" spans="1:10" ht="74.25" customHeight="1" x14ac:dyDescent="0.2">
      <c r="A32" s="12" t="s">
        <v>23</v>
      </c>
      <c r="B32" s="72" t="s">
        <v>138</v>
      </c>
      <c r="C32" s="81" t="s">
        <v>139</v>
      </c>
      <c r="D32" s="72" t="s">
        <v>140</v>
      </c>
      <c r="E32" s="39">
        <v>549900</v>
      </c>
      <c r="F32" s="39">
        <f>E32*19%</f>
        <v>104481</v>
      </c>
      <c r="G32" s="39">
        <f>E32+F32</f>
        <v>654381</v>
      </c>
      <c r="H32" s="39">
        <f>G32</f>
        <v>654381</v>
      </c>
      <c r="I32" s="72" t="s">
        <v>16</v>
      </c>
      <c r="J32" s="50" t="s">
        <v>141</v>
      </c>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D26:H26"/>
    <mergeCell ref="D2:H2"/>
    <mergeCell ref="A5:J5"/>
    <mergeCell ref="A13:J13"/>
    <mergeCell ref="A15:J15"/>
    <mergeCell ref="D16:H16"/>
  </mergeCells>
  <hyperlinks>
    <hyperlink ref="C8" r:id="rId1" xr:uid="{00000000-0004-0000-0A00-000000000000}"/>
    <hyperlink ref="C9" r:id="rId2" xr:uid="{00000000-0004-0000-0A00-000001000000}"/>
    <hyperlink ref="C10" r:id="rId3" xr:uid="{00000000-0004-0000-0A00-000002000000}"/>
    <hyperlink ref="C21" r:id="rId4" xr:uid="{C63B2BF7-4ADE-4B8B-8608-C2057A728D12}"/>
    <hyperlink ref="C22" r:id="rId5" xr:uid="{6E085333-48ED-4D27-A0DA-A775AF432B88}"/>
    <hyperlink ref="C23" r:id="rId6" xr:uid="{ED740FBA-1B9C-4687-BEC0-05CE1ACEDC38}"/>
    <hyperlink ref="C30" r:id="rId7" xr:uid="{D7CC5222-3E91-4B61-8D9B-F096F432C912}"/>
    <hyperlink ref="C31" r:id="rId8" xr:uid="{89694C5B-03BC-42A3-BB68-04BF14B8C973}"/>
    <hyperlink ref="C32" r:id="rId9" xr:uid="{DFFBDD07-21EE-425E-A32D-EE1857C17A46}"/>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C8" sqref="C8"/>
    </sheetView>
  </sheetViews>
  <sheetFormatPr baseColWidth="10" defaultColWidth="12.5703125" defaultRowHeight="15" customHeight="1" x14ac:dyDescent="0.2"/>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x14ac:dyDescent="0.2">
      <c r="A1" s="2"/>
      <c r="B1" s="2"/>
      <c r="C1" s="2"/>
      <c r="D1" s="2"/>
      <c r="E1" s="2"/>
      <c r="F1" s="2"/>
      <c r="G1" s="2"/>
      <c r="H1" s="2"/>
      <c r="I1" s="2"/>
      <c r="J1" s="2"/>
      <c r="K1" s="2"/>
      <c r="L1" s="2"/>
      <c r="M1" s="2"/>
      <c r="N1" s="2"/>
      <c r="O1" s="2"/>
      <c r="P1" s="2"/>
      <c r="Q1" s="2"/>
      <c r="R1" s="2"/>
      <c r="S1" s="2"/>
      <c r="T1" s="2"/>
      <c r="U1" s="2"/>
      <c r="V1" s="2"/>
      <c r="W1" s="2"/>
      <c r="X1" s="2"/>
      <c r="Y1" s="2"/>
      <c r="Z1" s="2"/>
    </row>
    <row r="2" spans="1:26" ht="27.75" customHeight="1" x14ac:dyDescent="0.2">
      <c r="A2" s="2"/>
      <c r="B2" s="2"/>
      <c r="C2" s="2"/>
      <c r="D2" s="89" t="s">
        <v>0</v>
      </c>
      <c r="E2" s="90"/>
      <c r="F2" s="90"/>
      <c r="G2" s="90"/>
      <c r="H2" s="90"/>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75.75" customHeight="1" x14ac:dyDescent="0.2">
      <c r="A7" s="4" t="s">
        <v>2</v>
      </c>
      <c r="B7" s="5" t="s">
        <v>98</v>
      </c>
      <c r="C7" s="5" t="s">
        <v>99</v>
      </c>
      <c r="D7" s="5" t="s">
        <v>100</v>
      </c>
      <c r="E7" s="5" t="s">
        <v>101</v>
      </c>
      <c r="F7" s="8" t="s">
        <v>102</v>
      </c>
      <c r="G7" s="9" t="s">
        <v>103</v>
      </c>
      <c r="H7" s="5" t="s">
        <v>9</v>
      </c>
      <c r="I7" s="5" t="s">
        <v>104</v>
      </c>
      <c r="J7" s="5" t="s">
        <v>105</v>
      </c>
      <c r="K7" s="11"/>
      <c r="L7" s="11"/>
      <c r="M7" s="11"/>
      <c r="N7" s="11"/>
      <c r="O7" s="11"/>
      <c r="P7" s="11"/>
      <c r="Q7" s="11"/>
      <c r="R7" s="11"/>
      <c r="S7" s="11"/>
      <c r="T7" s="11"/>
      <c r="U7" s="11"/>
      <c r="V7" s="11"/>
      <c r="W7" s="11"/>
      <c r="X7" s="11"/>
      <c r="Y7" s="11"/>
      <c r="Z7" s="11"/>
    </row>
    <row r="8" spans="1:26" ht="50.25" customHeight="1" x14ac:dyDescent="0.2">
      <c r="A8" s="42" t="s">
        <v>12</v>
      </c>
      <c r="B8" s="43" t="s">
        <v>106</v>
      </c>
      <c r="C8" s="64" t="s">
        <v>107</v>
      </c>
      <c r="D8" s="43" t="s">
        <v>108</v>
      </c>
      <c r="E8" s="46">
        <v>8900</v>
      </c>
      <c r="F8" s="46">
        <f t="shared" ref="F8:F10" si="0">E8*19%</f>
        <v>1691</v>
      </c>
      <c r="G8" s="68">
        <f>F8+E8</f>
        <v>10591</v>
      </c>
      <c r="H8" s="46">
        <f>G8</f>
        <v>10591</v>
      </c>
      <c r="I8" s="43" t="s">
        <v>16</v>
      </c>
      <c r="J8" s="43" t="s">
        <v>109</v>
      </c>
      <c r="K8" s="2"/>
      <c r="L8" s="2"/>
      <c r="M8" s="2"/>
      <c r="N8" s="2"/>
      <c r="O8" s="2"/>
      <c r="P8" s="2"/>
      <c r="Q8" s="2"/>
      <c r="R8" s="2"/>
      <c r="S8" s="2"/>
      <c r="T8" s="2"/>
      <c r="U8" s="2"/>
      <c r="V8" s="2"/>
      <c r="W8" s="2"/>
      <c r="X8" s="2"/>
      <c r="Y8" s="2"/>
      <c r="Z8" s="2"/>
    </row>
    <row r="9" spans="1:26" ht="50.25" customHeight="1" x14ac:dyDescent="0.2">
      <c r="A9" s="12" t="s">
        <v>18</v>
      </c>
      <c r="B9" s="52" t="s">
        <v>110</v>
      </c>
      <c r="C9" s="69" t="s">
        <v>111</v>
      </c>
      <c r="D9" s="40" t="s">
        <v>112</v>
      </c>
      <c r="E9" s="70">
        <v>7.99</v>
      </c>
      <c r="F9" s="39">
        <f t="shared" si="0"/>
        <v>1.5181</v>
      </c>
      <c r="G9" s="39">
        <f>E9+F9</f>
        <v>9.5081000000000007</v>
      </c>
      <c r="H9" s="39">
        <f>E9*4036.81</f>
        <v>32254.1119</v>
      </c>
      <c r="I9" s="40" t="str">
        <f t="shared" ref="I9:I10" si="1">I8</f>
        <v>contado</v>
      </c>
      <c r="J9" s="31" t="s">
        <v>113</v>
      </c>
      <c r="K9" s="2"/>
      <c r="L9" s="2"/>
      <c r="M9" s="2"/>
      <c r="N9" s="2"/>
      <c r="O9" s="2"/>
      <c r="P9" s="2"/>
      <c r="Q9" s="2"/>
      <c r="R9" s="2"/>
      <c r="S9" s="2"/>
      <c r="T9" s="2"/>
      <c r="U9" s="2"/>
      <c r="V9" s="2"/>
      <c r="W9" s="2"/>
      <c r="X9" s="2"/>
      <c r="Y9" s="2"/>
      <c r="Z9" s="2"/>
    </row>
    <row r="10" spans="1:26" ht="50.25" customHeight="1" x14ac:dyDescent="0.2">
      <c r="A10" s="12" t="s">
        <v>23</v>
      </c>
      <c r="B10" s="40" t="s">
        <v>114</v>
      </c>
      <c r="C10" s="49" t="s">
        <v>115</v>
      </c>
      <c r="D10" s="40" t="s">
        <v>116</v>
      </c>
      <c r="E10" s="39">
        <v>13850</v>
      </c>
      <c r="F10" s="39">
        <f t="shared" si="0"/>
        <v>2631.5</v>
      </c>
      <c r="G10" s="39">
        <f>F10+E10</f>
        <v>16481.5</v>
      </c>
      <c r="H10" s="39">
        <f>G10</f>
        <v>16481.5</v>
      </c>
      <c r="I10" s="40" t="str">
        <f t="shared" si="1"/>
        <v>contado</v>
      </c>
      <c r="J10" s="31" t="s">
        <v>117</v>
      </c>
      <c r="K10" s="2"/>
      <c r="L10" s="2"/>
      <c r="M10" s="2"/>
      <c r="N10" s="2"/>
      <c r="O10" s="2"/>
      <c r="P10" s="2"/>
      <c r="Q10" s="2"/>
      <c r="R10" s="2"/>
      <c r="S10" s="2"/>
      <c r="T10" s="2"/>
      <c r="U10" s="2"/>
      <c r="V10" s="2"/>
      <c r="W10" s="2"/>
      <c r="X10" s="2"/>
      <c r="Y10" s="2"/>
      <c r="Z10" s="2"/>
    </row>
    <row r="11" spans="1:26" ht="15" hidden="1" customHeight="1" x14ac:dyDescent="0.2">
      <c r="A11" s="30"/>
      <c r="B11" s="31"/>
      <c r="C11" s="31"/>
      <c r="D11" s="31"/>
      <c r="E11" s="31"/>
      <c r="F11" s="31"/>
      <c r="G11" s="31"/>
      <c r="H11" s="31"/>
      <c r="I11" s="31"/>
      <c r="J11" s="31"/>
      <c r="K11" s="2"/>
      <c r="L11" s="2"/>
      <c r="M11" s="2"/>
      <c r="N11" s="2"/>
      <c r="O11" s="2"/>
      <c r="P11" s="2"/>
      <c r="Q11" s="2"/>
      <c r="R11" s="2"/>
      <c r="S11" s="2"/>
      <c r="T11" s="2"/>
      <c r="U11" s="2"/>
      <c r="V11" s="2"/>
      <c r="W11" s="2"/>
      <c r="X11" s="2"/>
      <c r="Y11" s="2"/>
      <c r="Z11" s="2"/>
    </row>
    <row r="12" spans="1:26" ht="12.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8.75" customHeight="1" x14ac:dyDescent="0.2">
      <c r="A13" s="94" t="s">
        <v>118</v>
      </c>
      <c r="B13" s="92"/>
      <c r="C13" s="92"/>
      <c r="D13" s="92"/>
      <c r="E13" s="92"/>
      <c r="F13" s="92"/>
      <c r="G13" s="92"/>
      <c r="H13" s="92"/>
      <c r="I13" s="92"/>
      <c r="J13" s="93"/>
      <c r="K13" s="2"/>
      <c r="L13" s="2"/>
      <c r="M13" s="2"/>
      <c r="N13" s="2"/>
      <c r="O13" s="2"/>
      <c r="P13" s="2"/>
      <c r="Q13" s="2"/>
      <c r="R13" s="2"/>
      <c r="S13" s="2"/>
      <c r="T13" s="2"/>
      <c r="U13" s="2"/>
      <c r="V13" s="2"/>
      <c r="W13" s="2"/>
      <c r="X13" s="2"/>
      <c r="Y13" s="2"/>
      <c r="Z13" s="2"/>
    </row>
    <row r="14" spans="1:26" ht="12.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75" customHeight="1" x14ac:dyDescent="0.2">
      <c r="A15" s="94" t="s">
        <v>119</v>
      </c>
      <c r="B15" s="92"/>
      <c r="C15" s="92"/>
      <c r="D15" s="92"/>
      <c r="E15" s="92"/>
      <c r="F15" s="92"/>
      <c r="G15" s="92"/>
      <c r="H15" s="92"/>
      <c r="I15" s="92"/>
      <c r="J15" s="93"/>
      <c r="K15" s="2"/>
      <c r="L15" s="2"/>
      <c r="M15" s="2"/>
      <c r="N15" s="2"/>
      <c r="O15" s="2"/>
      <c r="P15" s="2"/>
      <c r="Q15" s="2"/>
      <c r="R15" s="2"/>
      <c r="S15" s="2"/>
      <c r="T15" s="2"/>
      <c r="U15" s="2"/>
      <c r="V15" s="2"/>
      <c r="W15" s="2"/>
      <c r="X15" s="2"/>
      <c r="Y15" s="2"/>
      <c r="Z15" s="2"/>
    </row>
    <row r="16" spans="1:26" ht="12.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4:14" ht="12.75" customHeight="1" x14ac:dyDescent="0.2">
      <c r="D17" s="2"/>
      <c r="E17" s="2"/>
      <c r="F17" s="2"/>
      <c r="G17" s="2"/>
    </row>
    <row r="18" spans="4:14" ht="12.75" customHeight="1" x14ac:dyDescent="0.2">
      <c r="D18" s="2"/>
      <c r="E18" s="2"/>
      <c r="F18" s="2"/>
      <c r="G18" s="2"/>
    </row>
    <row r="19" spans="4:14" ht="12.75" customHeight="1" x14ac:dyDescent="0.2">
      <c r="D19" s="2"/>
      <c r="E19" s="2"/>
      <c r="F19" s="2"/>
      <c r="G19" s="2"/>
    </row>
    <row r="20" spans="4:14" ht="12.75" customHeight="1" x14ac:dyDescent="0.2">
      <c r="D20" s="2"/>
      <c r="E20" s="2"/>
      <c r="F20" s="2"/>
      <c r="G20" s="2"/>
    </row>
    <row r="21" spans="4:14" ht="12.75" customHeight="1" x14ac:dyDescent="0.2">
      <c r="D21" s="2"/>
      <c r="E21" s="2"/>
      <c r="F21" s="2"/>
      <c r="G21" s="2"/>
    </row>
    <row r="22" spans="4:14" ht="12.75" customHeight="1" x14ac:dyDescent="0.2">
      <c r="D22" s="2"/>
      <c r="E22" s="2"/>
      <c r="F22" s="2"/>
      <c r="G22" s="2"/>
    </row>
    <row r="23" spans="4:14" ht="12.75" customHeight="1" x14ac:dyDescent="0.2">
      <c r="D23" s="2"/>
      <c r="E23" s="2"/>
      <c r="F23" s="2"/>
      <c r="G23" s="2"/>
      <c r="N23" s="71" t="s">
        <v>120</v>
      </c>
    </row>
    <row r="24" spans="4:14" ht="12.75" customHeight="1" x14ac:dyDescent="0.2">
      <c r="D24" s="2"/>
      <c r="E24" s="2"/>
      <c r="F24" s="2"/>
      <c r="G24" s="2"/>
    </row>
    <row r="25" spans="4:14" ht="12.75" customHeight="1" x14ac:dyDescent="0.2">
      <c r="D25" s="2"/>
      <c r="E25" s="2"/>
      <c r="F25" s="2"/>
      <c r="G25" s="2"/>
    </row>
    <row r="26" spans="4:14" ht="12.75" customHeight="1" x14ac:dyDescent="0.2">
      <c r="D26" s="33"/>
      <c r="E26" s="33"/>
      <c r="F26" s="1"/>
      <c r="G26" s="1"/>
    </row>
    <row r="27" spans="4:14" ht="12.75" customHeight="1" x14ac:dyDescent="0.2">
      <c r="D27" s="2"/>
      <c r="E27" s="2"/>
      <c r="F27" s="2"/>
      <c r="G27" s="2"/>
    </row>
    <row r="28" spans="4:14" ht="12.75" customHeight="1" x14ac:dyDescent="0.2">
      <c r="D28" s="2"/>
      <c r="E28" s="2"/>
      <c r="F28" s="2"/>
      <c r="G28" s="2"/>
    </row>
    <row r="29" spans="4:14" ht="12.75" customHeight="1" x14ac:dyDescent="0.2">
      <c r="D29" s="2"/>
      <c r="E29" s="2"/>
      <c r="F29" s="2"/>
      <c r="G29" s="2"/>
    </row>
    <row r="30" spans="4:14" ht="12.75" customHeight="1" x14ac:dyDescent="0.2">
      <c r="D30" s="2"/>
      <c r="E30" s="2"/>
      <c r="F30" s="2"/>
      <c r="G30" s="2"/>
    </row>
    <row r="31" spans="4:14" ht="12.75" customHeight="1" x14ac:dyDescent="0.2">
      <c r="D31" s="2"/>
      <c r="E31" s="2"/>
      <c r="F31" s="2"/>
      <c r="G31" s="2"/>
    </row>
    <row r="32" spans="4:14" ht="12.75" customHeight="1" x14ac:dyDescent="0.2">
      <c r="D32" s="2"/>
      <c r="E32" s="2"/>
      <c r="F32" s="2"/>
      <c r="G32" s="2"/>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D2:H2"/>
    <mergeCell ref="A5:J5"/>
    <mergeCell ref="A13:J13"/>
    <mergeCell ref="A15:J1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10" workbookViewId="0">
      <selection activeCell="C19" sqref="C19"/>
    </sheetView>
  </sheetViews>
  <sheetFormatPr baseColWidth="10" defaultColWidth="12.5703125" defaultRowHeight="15" customHeight="1" x14ac:dyDescent="0.2"/>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x14ac:dyDescent="0.2">
      <c r="A1" s="1"/>
      <c r="B1" s="2"/>
      <c r="C1" s="2"/>
      <c r="D1" s="2"/>
      <c r="E1" s="2"/>
      <c r="F1" s="2"/>
      <c r="G1" s="2"/>
      <c r="H1" s="2"/>
      <c r="I1" s="2"/>
      <c r="J1" s="2"/>
      <c r="K1" s="2"/>
      <c r="L1" s="2"/>
      <c r="M1" s="2"/>
      <c r="N1" s="2"/>
      <c r="O1" s="2"/>
      <c r="P1" s="2"/>
      <c r="Q1" s="2"/>
      <c r="R1" s="2"/>
      <c r="S1" s="2"/>
      <c r="T1" s="2"/>
      <c r="U1" s="2"/>
      <c r="V1" s="2"/>
      <c r="W1" s="2"/>
      <c r="X1" s="2"/>
      <c r="Y1" s="2"/>
      <c r="Z1" s="2"/>
    </row>
    <row r="2" spans="1:26" ht="27.75" customHeight="1" x14ac:dyDescent="0.2">
      <c r="A2" s="2"/>
      <c r="B2" s="2"/>
      <c r="C2" s="2"/>
      <c r="D2" s="89" t="s">
        <v>0</v>
      </c>
      <c r="E2" s="90"/>
      <c r="F2" s="90"/>
      <c r="G2" s="90"/>
      <c r="H2" s="90"/>
      <c r="I2" s="2"/>
      <c r="J2" s="2"/>
      <c r="K2" s="2"/>
      <c r="L2" s="2"/>
      <c r="M2" s="2"/>
      <c r="N2" s="2"/>
      <c r="O2" s="2"/>
      <c r="P2" s="2"/>
      <c r="Q2" s="2"/>
      <c r="R2" s="2"/>
      <c r="S2" s="2"/>
      <c r="T2" s="2"/>
      <c r="U2" s="2"/>
      <c r="V2" s="2"/>
      <c r="W2" s="2"/>
      <c r="X2" s="2"/>
      <c r="Y2" s="2"/>
      <c r="Z2" s="2"/>
    </row>
    <row r="3" spans="1:26" ht="12.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43.5" customHeight="1" x14ac:dyDescent="0.2">
      <c r="A5" s="91" t="s">
        <v>1</v>
      </c>
      <c r="B5" s="92"/>
      <c r="C5" s="92"/>
      <c r="D5" s="92"/>
      <c r="E5" s="92"/>
      <c r="F5" s="92"/>
      <c r="G5" s="92"/>
      <c r="H5" s="92"/>
      <c r="I5" s="92"/>
      <c r="J5" s="93"/>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75.75" customHeight="1" x14ac:dyDescent="0.2">
      <c r="A7" s="4" t="s">
        <v>2</v>
      </c>
      <c r="B7" s="5" t="s">
        <v>142</v>
      </c>
      <c r="C7" s="5" t="s">
        <v>143</v>
      </c>
      <c r="D7" s="5" t="s">
        <v>144</v>
      </c>
      <c r="E7" s="5" t="s">
        <v>145</v>
      </c>
      <c r="F7" s="8" t="s">
        <v>146</v>
      </c>
      <c r="G7" s="9" t="s">
        <v>147</v>
      </c>
      <c r="H7" s="5" t="s">
        <v>9</v>
      </c>
      <c r="I7" s="5" t="s">
        <v>148</v>
      </c>
      <c r="J7" s="5" t="s">
        <v>149</v>
      </c>
      <c r="K7" s="11"/>
      <c r="L7" s="11"/>
      <c r="M7" s="11"/>
      <c r="N7" s="11"/>
      <c r="O7" s="11"/>
      <c r="P7" s="11"/>
      <c r="Q7" s="11"/>
      <c r="R7" s="11"/>
      <c r="S7" s="11"/>
      <c r="T7" s="11"/>
      <c r="U7" s="11"/>
      <c r="V7" s="11"/>
      <c r="W7" s="11"/>
      <c r="X7" s="11"/>
      <c r="Y7" s="11"/>
      <c r="Z7" s="11"/>
    </row>
    <row r="8" spans="1:26" ht="50.25" customHeight="1" x14ac:dyDescent="0.2">
      <c r="A8" s="12" t="s">
        <v>12</v>
      </c>
      <c r="B8" s="72" t="s">
        <v>150</v>
      </c>
      <c r="C8" s="58" t="s">
        <v>151</v>
      </c>
      <c r="D8" s="76" t="s">
        <v>152</v>
      </c>
      <c r="E8" s="38">
        <v>459999</v>
      </c>
      <c r="F8" s="39">
        <f t="shared" ref="F8:F10" si="0">E8*19%</f>
        <v>87399.81</v>
      </c>
      <c r="G8" s="39">
        <f t="shared" ref="G8:G11" si="1">F8+E8</f>
        <v>547398.81000000006</v>
      </c>
      <c r="H8" s="39">
        <f t="shared" ref="H8:H10" si="2">G8</f>
        <v>547398.81000000006</v>
      </c>
      <c r="I8" s="40" t="s">
        <v>16</v>
      </c>
      <c r="J8" s="72" t="s">
        <v>153</v>
      </c>
      <c r="K8" s="2"/>
      <c r="L8" s="2"/>
      <c r="M8" s="2"/>
      <c r="N8" s="2"/>
      <c r="O8" s="2"/>
      <c r="P8" s="2"/>
      <c r="Q8" s="2"/>
      <c r="R8" s="2"/>
      <c r="S8" s="2"/>
      <c r="T8" s="2"/>
      <c r="U8" s="2"/>
      <c r="V8" s="2"/>
      <c r="W8" s="2"/>
      <c r="X8" s="2"/>
      <c r="Y8" s="2"/>
      <c r="Z8" s="2"/>
    </row>
    <row r="9" spans="1:26" ht="50.25" customHeight="1" x14ac:dyDescent="0.2">
      <c r="A9" s="42" t="s">
        <v>18</v>
      </c>
      <c r="B9" s="79" t="s">
        <v>154</v>
      </c>
      <c r="C9" s="77" t="s">
        <v>155</v>
      </c>
      <c r="D9" s="61" t="s">
        <v>156</v>
      </c>
      <c r="E9" s="45">
        <v>120990</v>
      </c>
      <c r="F9" s="46">
        <f t="shared" si="0"/>
        <v>22988.1</v>
      </c>
      <c r="G9" s="46">
        <f t="shared" si="1"/>
        <v>143978.1</v>
      </c>
      <c r="H9" s="46">
        <f t="shared" si="2"/>
        <v>143978.1</v>
      </c>
      <c r="I9" s="43" t="s">
        <v>16</v>
      </c>
      <c r="J9" s="61" t="s">
        <v>157</v>
      </c>
      <c r="K9" s="2"/>
      <c r="L9" s="2"/>
      <c r="M9" s="2"/>
      <c r="N9" s="2"/>
      <c r="O9" s="2"/>
      <c r="P9" s="2"/>
      <c r="Q9" s="2"/>
      <c r="R9" s="2"/>
      <c r="S9" s="2"/>
      <c r="T9" s="2"/>
      <c r="U9" s="2"/>
      <c r="V9" s="2"/>
      <c r="W9" s="2"/>
      <c r="X9" s="2"/>
      <c r="Y9" s="2"/>
      <c r="Z9" s="2"/>
    </row>
    <row r="10" spans="1:26" ht="50.25" customHeight="1" x14ac:dyDescent="0.2">
      <c r="A10" s="12" t="s">
        <v>23</v>
      </c>
      <c r="B10" s="72" t="s">
        <v>158</v>
      </c>
      <c r="C10" s="58" t="s">
        <v>159</v>
      </c>
      <c r="D10" s="72" t="s">
        <v>160</v>
      </c>
      <c r="E10" s="38">
        <v>63990</v>
      </c>
      <c r="F10" s="39">
        <f t="shared" si="0"/>
        <v>12158.1</v>
      </c>
      <c r="G10" s="39">
        <f t="shared" si="1"/>
        <v>76148.100000000006</v>
      </c>
      <c r="H10" s="39">
        <f t="shared" si="2"/>
        <v>76148.100000000006</v>
      </c>
      <c r="I10" s="40" t="s">
        <v>16</v>
      </c>
      <c r="J10" s="72" t="s">
        <v>161</v>
      </c>
      <c r="K10" s="2"/>
      <c r="L10" s="2"/>
      <c r="M10" s="2"/>
      <c r="N10" s="2"/>
      <c r="O10" s="2"/>
      <c r="P10" s="2"/>
      <c r="Q10" s="2"/>
      <c r="R10" s="2"/>
      <c r="S10" s="2"/>
      <c r="T10" s="2"/>
      <c r="U10" s="2"/>
      <c r="V10" s="2"/>
      <c r="W10" s="2"/>
      <c r="X10" s="2"/>
      <c r="Y10" s="2"/>
      <c r="Z10" s="2"/>
    </row>
    <row r="11" spans="1:26" ht="15" hidden="1" customHeight="1" x14ac:dyDescent="0.2">
      <c r="A11" s="30"/>
      <c r="B11" s="31"/>
      <c r="C11" s="31"/>
      <c r="D11" s="31"/>
      <c r="E11" s="31"/>
      <c r="F11" s="31"/>
      <c r="G11" s="75">
        <f t="shared" si="1"/>
        <v>0</v>
      </c>
      <c r="H11" s="31"/>
      <c r="I11" s="31"/>
      <c r="J11" s="31"/>
      <c r="K11" s="2"/>
      <c r="L11" s="2"/>
      <c r="M11" s="2"/>
      <c r="N11" s="2"/>
      <c r="O11" s="2"/>
      <c r="P11" s="2"/>
      <c r="Q11" s="2"/>
      <c r="R11" s="2"/>
      <c r="S11" s="2"/>
      <c r="T11" s="2"/>
      <c r="U11" s="2"/>
      <c r="V11" s="2"/>
      <c r="W11" s="2"/>
      <c r="X11" s="2"/>
      <c r="Y11" s="2"/>
      <c r="Z11" s="2"/>
    </row>
    <row r="12" spans="1:26" ht="12.75" customHeight="1" x14ac:dyDescent="0.2">
      <c r="A12" s="2"/>
      <c r="B12" s="2"/>
      <c r="C12" s="2"/>
      <c r="D12" s="2"/>
      <c r="E12" s="2"/>
      <c r="F12" s="2"/>
      <c r="G12" s="75"/>
      <c r="H12" s="2"/>
      <c r="I12" s="2"/>
      <c r="J12" s="2"/>
      <c r="K12" s="2"/>
      <c r="L12" s="2"/>
      <c r="M12" s="2"/>
      <c r="N12" s="2"/>
      <c r="O12" s="2"/>
      <c r="P12" s="2"/>
      <c r="Q12" s="2"/>
      <c r="R12" s="2"/>
      <c r="S12" s="2"/>
      <c r="T12" s="2"/>
      <c r="U12" s="2"/>
      <c r="V12" s="2"/>
      <c r="W12" s="2"/>
      <c r="X12" s="2"/>
      <c r="Y12" s="2"/>
      <c r="Z12" s="2"/>
    </row>
    <row r="13" spans="1:26" ht="138.75" customHeight="1" x14ac:dyDescent="0.2">
      <c r="A13" s="94" t="s">
        <v>162</v>
      </c>
      <c r="B13" s="92"/>
      <c r="C13" s="92"/>
      <c r="D13" s="92"/>
      <c r="E13" s="92"/>
      <c r="F13" s="92"/>
      <c r="G13" s="92"/>
      <c r="H13" s="92"/>
      <c r="I13" s="92"/>
      <c r="J13" s="93"/>
      <c r="K13" s="2"/>
      <c r="L13" s="2"/>
      <c r="M13" s="2"/>
      <c r="N13" s="2"/>
      <c r="O13" s="2"/>
      <c r="P13" s="2"/>
      <c r="Q13" s="2"/>
      <c r="R13" s="2"/>
      <c r="S13" s="2"/>
      <c r="T13" s="2"/>
      <c r="U13" s="2"/>
      <c r="V13" s="2"/>
      <c r="W13" s="2"/>
      <c r="X13" s="2"/>
      <c r="Y13" s="2"/>
      <c r="Z13" s="2"/>
    </row>
    <row r="14" spans="1:26" ht="12.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75" customHeight="1" x14ac:dyDescent="0.2">
      <c r="A15" s="94" t="s">
        <v>163</v>
      </c>
      <c r="B15" s="92"/>
      <c r="C15" s="92"/>
      <c r="D15" s="92"/>
      <c r="E15" s="92"/>
      <c r="F15" s="92"/>
      <c r="G15" s="92"/>
      <c r="H15" s="92"/>
      <c r="I15" s="92"/>
      <c r="J15" s="93"/>
      <c r="K15" s="2"/>
      <c r="L15" s="2"/>
      <c r="M15" s="2"/>
      <c r="N15" s="2"/>
      <c r="O15" s="2"/>
      <c r="P15" s="2"/>
      <c r="Q15" s="2"/>
      <c r="R15" s="2"/>
      <c r="S15" s="2"/>
      <c r="T15" s="2"/>
      <c r="U15" s="2"/>
      <c r="V15" s="2"/>
      <c r="W15" s="2"/>
      <c r="X15" s="2"/>
      <c r="Y15" s="2"/>
      <c r="Z15" s="2"/>
    </row>
    <row r="16" spans="1:26" ht="12.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10" ht="12.75" customHeight="1" x14ac:dyDescent="0.2">
      <c r="D17" s="2"/>
      <c r="E17" s="2"/>
      <c r="F17" s="2"/>
      <c r="G17" s="2"/>
    </row>
    <row r="18" spans="1:10" ht="12.75" customHeight="1" x14ac:dyDescent="0.2">
      <c r="D18" s="97" t="s">
        <v>177</v>
      </c>
      <c r="E18" s="90"/>
      <c r="F18" s="90"/>
      <c r="G18" s="90"/>
      <c r="H18" s="90"/>
    </row>
    <row r="19" spans="1:10" ht="12.75" customHeight="1" x14ac:dyDescent="0.2">
      <c r="D19" s="2"/>
      <c r="E19" s="2"/>
      <c r="F19" s="2"/>
      <c r="G19" s="2"/>
    </row>
    <row r="20" spans="1:10" ht="12.75" customHeight="1" x14ac:dyDescent="0.2">
      <c r="D20" s="2"/>
      <c r="E20" s="2"/>
      <c r="F20" s="2"/>
      <c r="G20" s="2"/>
    </row>
    <row r="21" spans="1:10" ht="59.25" customHeight="1" x14ac:dyDescent="0.2">
      <c r="A21" s="4" t="s">
        <v>2</v>
      </c>
      <c r="B21" s="6" t="s">
        <v>29</v>
      </c>
      <c r="C21" s="6" t="s">
        <v>30</v>
      </c>
      <c r="D21" s="6" t="s">
        <v>31</v>
      </c>
      <c r="E21" s="6" t="s">
        <v>32</v>
      </c>
      <c r="F21" s="8" t="s">
        <v>33</v>
      </c>
      <c r="G21" s="9" t="s">
        <v>34</v>
      </c>
      <c r="H21" s="6" t="s">
        <v>9</v>
      </c>
      <c r="I21" s="6" t="s">
        <v>35</v>
      </c>
      <c r="J21" s="6" t="s">
        <v>36</v>
      </c>
    </row>
    <row r="22" spans="1:10" ht="66" customHeight="1" x14ac:dyDescent="0.2">
      <c r="A22" s="12" t="s">
        <v>12</v>
      </c>
      <c r="B22" s="28" t="s">
        <v>164</v>
      </c>
      <c r="C22" s="83" t="s">
        <v>165</v>
      </c>
      <c r="D22" s="76" t="s">
        <v>166</v>
      </c>
      <c r="E22" s="17">
        <v>769999</v>
      </c>
      <c r="F22" s="29">
        <f>E22*19%</f>
        <v>146299.81</v>
      </c>
      <c r="G22" s="84">
        <f t="shared" ref="G22:H24" si="3">F22</f>
        <v>146299.81</v>
      </c>
      <c r="H22" s="29">
        <f t="shared" si="3"/>
        <v>146299.81</v>
      </c>
      <c r="I22" s="28" t="s">
        <v>16</v>
      </c>
      <c r="J22" s="72"/>
    </row>
    <row r="23" spans="1:10" ht="60.75" customHeight="1" x14ac:dyDescent="0.2">
      <c r="A23" s="42" t="s">
        <v>18</v>
      </c>
      <c r="B23" s="85" t="s">
        <v>167</v>
      </c>
      <c r="C23" s="62" t="s">
        <v>168</v>
      </c>
      <c r="D23" s="61" t="str">
        <f t="shared" ref="D23:D24" si="4">D22</f>
        <v xml:space="preserve">Licencia Windows 11 home ESD Vitalicia
</v>
      </c>
      <c r="E23" s="86">
        <v>38000</v>
      </c>
      <c r="F23" s="86">
        <f t="shared" ref="F23:F24" si="5">E23*19%</f>
        <v>7220</v>
      </c>
      <c r="G23" s="86">
        <f t="shared" ref="G23:G24" si="6">E23+F23</f>
        <v>45220</v>
      </c>
      <c r="H23" s="86">
        <f t="shared" si="3"/>
        <v>45220</v>
      </c>
      <c r="I23" s="74" t="s">
        <v>16</v>
      </c>
      <c r="J23" s="61"/>
    </row>
    <row r="24" spans="1:10" ht="71.25" customHeight="1" x14ac:dyDescent="0.2">
      <c r="A24" s="12" t="s">
        <v>23</v>
      </c>
      <c r="B24" s="28" t="s">
        <v>169</v>
      </c>
      <c r="C24" s="87" t="s">
        <v>170</v>
      </c>
      <c r="D24" s="72" t="str">
        <f t="shared" si="4"/>
        <v xml:space="preserve">Licencia Windows 11 home ESD Vitalicia
</v>
      </c>
      <c r="E24" s="17">
        <v>53000</v>
      </c>
      <c r="F24" s="17">
        <f t="shared" si="5"/>
        <v>10070</v>
      </c>
      <c r="G24" s="17">
        <f t="shared" si="6"/>
        <v>63070</v>
      </c>
      <c r="H24" s="17">
        <f t="shared" si="3"/>
        <v>63070</v>
      </c>
      <c r="I24" s="28" t="s">
        <v>16</v>
      </c>
      <c r="J24" s="72">
        <f>J23</f>
        <v>0</v>
      </c>
    </row>
    <row r="25" spans="1:10" ht="12.75" customHeight="1" x14ac:dyDescent="0.2">
      <c r="D25" s="2"/>
      <c r="E25" s="2"/>
      <c r="F25" s="2"/>
      <c r="G25" s="2"/>
    </row>
    <row r="26" spans="1:10" ht="12.75" customHeight="1" x14ac:dyDescent="0.2">
      <c r="D26" s="33"/>
      <c r="E26" s="33"/>
      <c r="F26" s="1"/>
      <c r="G26" s="1"/>
    </row>
    <row r="27" spans="1:10" ht="12.75" customHeight="1" x14ac:dyDescent="0.2">
      <c r="D27" s="2"/>
      <c r="E27" s="2"/>
      <c r="F27" s="2"/>
      <c r="G27" s="2"/>
    </row>
    <row r="28" spans="1:10" ht="12.75" customHeight="1" x14ac:dyDescent="0.2">
      <c r="D28" s="2"/>
      <c r="E28" s="2"/>
      <c r="F28" s="2"/>
      <c r="G28" s="2"/>
    </row>
    <row r="29" spans="1:10" ht="12.75" customHeight="1" x14ac:dyDescent="0.2">
      <c r="D29" s="2"/>
      <c r="E29" s="2"/>
      <c r="F29" s="2"/>
      <c r="G29" s="2"/>
    </row>
    <row r="30" spans="1:10" ht="12.75" customHeight="1" x14ac:dyDescent="0.2">
      <c r="D30" s="2"/>
      <c r="E30" s="2"/>
      <c r="F30" s="2"/>
      <c r="G30" s="2"/>
    </row>
    <row r="31" spans="1:10" ht="12.75" customHeight="1" x14ac:dyDescent="0.2">
      <c r="D31" s="2"/>
      <c r="E31" s="2"/>
      <c r="F31" s="2"/>
      <c r="G31" s="2"/>
    </row>
    <row r="32" spans="1:10" ht="12.75" customHeight="1" x14ac:dyDescent="0.2">
      <c r="D32" s="2"/>
      <c r="E32" s="2"/>
      <c r="F32" s="2"/>
      <c r="G32" s="2"/>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
    <mergeCell ref="D2:H2"/>
    <mergeCell ref="A5:J5"/>
    <mergeCell ref="A13:J13"/>
    <mergeCell ref="A15:J15"/>
    <mergeCell ref="D18:H18"/>
  </mergeCells>
  <hyperlinks>
    <hyperlink ref="C8" r:id="rId1" xr:uid="{00000000-0004-0000-1200-000000000000}"/>
    <hyperlink ref="C9" r:id="rId2" xr:uid="{00000000-0004-0000-1200-000001000000}"/>
    <hyperlink ref="C10" r:id="rId3" xr:uid="{00000000-0004-0000-1200-000002000000}"/>
    <hyperlink ref="C22" r:id="rId4" xr:uid="{08C00BB3-F608-424C-970E-08402BF74C34}"/>
    <hyperlink ref="C23" r:id="rId5" xr:uid="{7EB9A991-E681-4E31-AB13-3852A78C4140}"/>
    <hyperlink ref="C24" r:id="rId6" xr:uid="{D6004F40-84DB-47E9-BB0C-6CBF6C893E02}"/>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8908F-7D39-49C3-A8DB-2F8FDB6A68B7}">
  <dimension ref="B1:O28"/>
  <sheetViews>
    <sheetView workbookViewId="0">
      <selection activeCell="B22" sqref="B22"/>
    </sheetView>
  </sheetViews>
  <sheetFormatPr baseColWidth="10" defaultRowHeight="12.75" x14ac:dyDescent="0.2"/>
  <cols>
    <col min="1" max="1" width="11.42578125" customWidth="1"/>
    <col min="2" max="2" width="18" customWidth="1"/>
    <col min="3" max="3" width="15.28515625" customWidth="1"/>
    <col min="4" max="4" width="18.42578125" customWidth="1"/>
    <col min="5" max="5" width="19.7109375" customWidth="1"/>
    <col min="6" max="6" width="19.85546875" customWidth="1"/>
    <col min="7" max="7" width="21.5703125" customWidth="1"/>
    <col min="8" max="8" width="16.140625" customWidth="1"/>
    <col min="9" max="9" width="14.140625" customWidth="1"/>
    <col min="14" max="14" width="11.42578125" customWidth="1"/>
  </cols>
  <sheetData>
    <row r="1" spans="2:15" ht="79.5" customHeight="1" thickBot="1" x14ac:dyDescent="0.25">
      <c r="B1" s="116" t="s">
        <v>187</v>
      </c>
      <c r="C1" s="123" t="s">
        <v>188</v>
      </c>
      <c r="D1" s="124" t="s">
        <v>189</v>
      </c>
      <c r="E1" s="124" t="s">
        <v>190</v>
      </c>
      <c r="F1" s="124" t="s">
        <v>197</v>
      </c>
      <c r="G1" s="124" t="s">
        <v>191</v>
      </c>
      <c r="H1" s="125" t="s">
        <v>192</v>
      </c>
      <c r="I1" s="134" t="s">
        <v>193</v>
      </c>
    </row>
    <row r="2" spans="2:15" ht="44.25" customHeight="1" thickBot="1" x14ac:dyDescent="0.25">
      <c r="B2" s="117">
        <v>1</v>
      </c>
      <c r="C2" s="109" t="s">
        <v>198</v>
      </c>
      <c r="D2" s="119">
        <v>1423500</v>
      </c>
      <c r="E2" s="119">
        <v>200000</v>
      </c>
      <c r="F2" s="119">
        <v>773433</v>
      </c>
      <c r="G2" s="120">
        <v>2396933</v>
      </c>
      <c r="H2" s="121">
        <v>6</v>
      </c>
      <c r="I2" s="131">
        <v>14381598</v>
      </c>
    </row>
    <row r="3" spans="2:15" ht="31.5" customHeight="1" thickBot="1" x14ac:dyDescent="0.25">
      <c r="B3" s="117">
        <v>2</v>
      </c>
      <c r="C3" s="109" t="s">
        <v>194</v>
      </c>
      <c r="D3" s="119">
        <v>1423500</v>
      </c>
      <c r="E3" s="119">
        <v>200000</v>
      </c>
      <c r="F3" s="119">
        <v>773433</v>
      </c>
      <c r="G3" s="120">
        <v>2396933</v>
      </c>
      <c r="H3" s="121">
        <v>6</v>
      </c>
      <c r="I3" s="131">
        <v>14381598</v>
      </c>
    </row>
    <row r="4" spans="2:15" ht="37.5" customHeight="1" x14ac:dyDescent="0.2">
      <c r="B4" s="126">
        <v>3</v>
      </c>
      <c r="C4" s="118" t="s">
        <v>195</v>
      </c>
      <c r="D4" s="127">
        <v>1423500</v>
      </c>
      <c r="E4" s="127">
        <v>200000</v>
      </c>
      <c r="F4" s="127">
        <v>773433</v>
      </c>
      <c r="G4" s="122">
        <v>2396933</v>
      </c>
      <c r="H4" s="112">
        <v>6</v>
      </c>
      <c r="I4" s="131">
        <v>14381598</v>
      </c>
    </row>
    <row r="5" spans="2:15" ht="44.25" customHeight="1" x14ac:dyDescent="0.2">
      <c r="B5" s="128">
        <v>4</v>
      </c>
      <c r="C5" s="129" t="s">
        <v>199</v>
      </c>
      <c r="D5" s="130">
        <v>1423500</v>
      </c>
      <c r="E5" s="130">
        <v>200000</v>
      </c>
      <c r="F5" s="130">
        <v>773433</v>
      </c>
      <c r="G5" s="131">
        <v>2396933</v>
      </c>
      <c r="H5" s="133">
        <v>6</v>
      </c>
      <c r="I5" s="131">
        <v>14381598</v>
      </c>
    </row>
    <row r="6" spans="2:15" ht="0.75" customHeight="1" x14ac:dyDescent="0.2">
      <c r="B6" s="115"/>
      <c r="C6" s="113"/>
      <c r="D6" s="115"/>
      <c r="E6" s="115"/>
      <c r="F6" s="115"/>
      <c r="G6" s="115"/>
      <c r="H6" s="133"/>
      <c r="I6" s="115"/>
    </row>
    <row r="7" spans="2:15" ht="24.75" customHeight="1" x14ac:dyDescent="0.2">
      <c r="B7" s="115"/>
      <c r="C7" s="129" t="s">
        <v>196</v>
      </c>
      <c r="D7" s="132">
        <v>5694000</v>
      </c>
      <c r="E7" s="131">
        <v>800000</v>
      </c>
      <c r="F7" s="131">
        <v>3093732</v>
      </c>
      <c r="G7" s="131">
        <v>9587732</v>
      </c>
      <c r="H7" s="133"/>
      <c r="I7" s="131">
        <v>57526392</v>
      </c>
    </row>
    <row r="11" spans="2:15" ht="24" x14ac:dyDescent="0.2">
      <c r="B11" s="136" t="s">
        <v>200</v>
      </c>
      <c r="C11" s="137" t="s">
        <v>201</v>
      </c>
      <c r="E11" s="129" t="s">
        <v>205</v>
      </c>
      <c r="F11" s="139" t="s">
        <v>206</v>
      </c>
      <c r="H11" s="129" t="s">
        <v>211</v>
      </c>
      <c r="I11" s="139" t="s">
        <v>206</v>
      </c>
      <c r="K11" s="129" t="s">
        <v>217</v>
      </c>
      <c r="L11" s="139" t="s">
        <v>206</v>
      </c>
      <c r="N11" s="129" t="s">
        <v>221</v>
      </c>
      <c r="O11" s="141">
        <v>0.51329999999999998</v>
      </c>
    </row>
    <row r="12" spans="2:15" ht="24" x14ac:dyDescent="0.2">
      <c r="B12" s="129" t="s">
        <v>202</v>
      </c>
      <c r="C12" s="138">
        <v>1423500</v>
      </c>
      <c r="E12" s="113" t="s">
        <v>207</v>
      </c>
      <c r="F12" s="140">
        <v>0.02</v>
      </c>
      <c r="H12" s="113" t="s">
        <v>212</v>
      </c>
      <c r="I12" s="140">
        <v>8.3299999999999999E-2</v>
      </c>
      <c r="K12" s="129" t="s">
        <v>218</v>
      </c>
      <c r="L12" s="114"/>
      <c r="N12" s="129" t="s">
        <v>222</v>
      </c>
      <c r="O12" s="141">
        <v>0.08</v>
      </c>
    </row>
    <row r="13" spans="2:15" ht="24" x14ac:dyDescent="0.2">
      <c r="B13" s="129" t="s">
        <v>203</v>
      </c>
      <c r="C13" s="138">
        <v>200000</v>
      </c>
      <c r="E13" s="113" t="s">
        <v>208</v>
      </c>
      <c r="F13" s="140">
        <v>0.03</v>
      </c>
      <c r="H13" s="113" t="s">
        <v>213</v>
      </c>
      <c r="I13" s="140">
        <v>0.01</v>
      </c>
      <c r="K13" s="113" t="s">
        <v>179</v>
      </c>
      <c r="L13" s="140">
        <v>8.5000000000000006E-2</v>
      </c>
      <c r="N13" s="129" t="s">
        <v>186</v>
      </c>
      <c r="O13" s="141">
        <v>0.59330000000000005</v>
      </c>
    </row>
    <row r="14" spans="2:15" ht="24" x14ac:dyDescent="0.2">
      <c r="B14" s="129" t="s">
        <v>204</v>
      </c>
      <c r="C14" s="138">
        <v>18505500</v>
      </c>
      <c r="E14" s="113" t="s">
        <v>209</v>
      </c>
      <c r="F14" s="140">
        <v>0.04</v>
      </c>
      <c r="H14" s="113" t="s">
        <v>214</v>
      </c>
      <c r="I14" s="140">
        <v>8.3299999999999999E-2</v>
      </c>
      <c r="K14" s="113" t="s">
        <v>219</v>
      </c>
      <c r="L14" s="140">
        <v>0.04</v>
      </c>
    </row>
    <row r="15" spans="2:15" x14ac:dyDescent="0.2">
      <c r="E15" s="129" t="s">
        <v>210</v>
      </c>
      <c r="F15" s="141">
        <v>0.09</v>
      </c>
      <c r="H15" s="113" t="s">
        <v>215</v>
      </c>
      <c r="I15" s="140">
        <v>4.1700000000000001E-2</v>
      </c>
      <c r="K15" s="129" t="s">
        <v>220</v>
      </c>
      <c r="L15" s="114"/>
    </row>
    <row r="16" spans="2:15" x14ac:dyDescent="0.2">
      <c r="H16" s="129" t="s">
        <v>216</v>
      </c>
      <c r="I16" s="141">
        <v>0.21829999999999999</v>
      </c>
      <c r="K16" s="113" t="s">
        <v>179</v>
      </c>
      <c r="L16" s="140">
        <v>0.12</v>
      </c>
    </row>
    <row r="17" spans="2:12" x14ac:dyDescent="0.2">
      <c r="K17" s="113" t="s">
        <v>219</v>
      </c>
      <c r="L17" s="140">
        <v>0.04</v>
      </c>
    </row>
    <row r="20" spans="2:12" x14ac:dyDescent="0.2">
      <c r="B20" s="136" t="s">
        <v>223</v>
      </c>
      <c r="C20" s="135" t="s">
        <v>201</v>
      </c>
      <c r="D20" s="135" t="s">
        <v>224</v>
      </c>
      <c r="E20" s="135" t="s">
        <v>225</v>
      </c>
    </row>
    <row r="21" spans="2:12" x14ac:dyDescent="0.2">
      <c r="B21" s="113" t="s">
        <v>226</v>
      </c>
      <c r="C21" s="142">
        <v>800000</v>
      </c>
      <c r="D21" s="142">
        <v>800000</v>
      </c>
      <c r="E21" s="142">
        <v>9600000</v>
      </c>
    </row>
    <row r="22" spans="2:12" x14ac:dyDescent="0.2">
      <c r="B22" s="113" t="s">
        <v>227</v>
      </c>
      <c r="C22" s="142">
        <v>150000</v>
      </c>
      <c r="D22" s="142">
        <v>150000</v>
      </c>
      <c r="E22" s="142">
        <v>1800000</v>
      </c>
    </row>
    <row r="23" spans="2:12" x14ac:dyDescent="0.2">
      <c r="B23" s="113" t="s">
        <v>228</v>
      </c>
      <c r="C23" s="142">
        <v>45000</v>
      </c>
      <c r="D23" s="142">
        <v>45000</v>
      </c>
      <c r="E23" s="142">
        <v>540000</v>
      </c>
    </row>
    <row r="24" spans="2:12" x14ac:dyDescent="0.2">
      <c r="B24" s="113" t="s">
        <v>229</v>
      </c>
      <c r="C24" s="142">
        <v>90000</v>
      </c>
      <c r="D24" s="142">
        <v>90000</v>
      </c>
      <c r="E24" s="142">
        <v>1080000</v>
      </c>
    </row>
    <row r="25" spans="2:12" x14ac:dyDescent="0.2">
      <c r="B25" s="113"/>
      <c r="C25" s="115"/>
      <c r="D25" s="115" t="s">
        <v>230</v>
      </c>
      <c r="E25" s="115" t="s">
        <v>230</v>
      </c>
    </row>
    <row r="26" spans="2:12" x14ac:dyDescent="0.2">
      <c r="B26" s="113"/>
      <c r="C26" s="115"/>
      <c r="D26" s="115" t="s">
        <v>230</v>
      </c>
      <c r="E26" s="115" t="s">
        <v>230</v>
      </c>
    </row>
    <row r="27" spans="2:12" x14ac:dyDescent="0.2">
      <c r="B27" s="113"/>
      <c r="C27" s="115"/>
      <c r="D27" s="115" t="s">
        <v>230</v>
      </c>
      <c r="E27" s="115" t="s">
        <v>230</v>
      </c>
    </row>
    <row r="28" spans="2:12" x14ac:dyDescent="0.2">
      <c r="B28" s="129" t="s">
        <v>231</v>
      </c>
      <c r="C28" s="143">
        <v>1085000</v>
      </c>
      <c r="D28" s="143">
        <v>1085000</v>
      </c>
      <c r="E28" s="143">
        <v>13020000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566F-5BCA-4AC1-9149-6407E2831F87}">
  <dimension ref="C1:G10"/>
  <sheetViews>
    <sheetView tabSelected="1" workbookViewId="0">
      <selection activeCell="A12" sqref="A12"/>
    </sheetView>
  </sheetViews>
  <sheetFormatPr baseColWidth="10" defaultRowHeight="12.75" x14ac:dyDescent="0.2"/>
  <cols>
    <col min="1" max="1" width="11.42578125" customWidth="1"/>
    <col min="2" max="2" width="10.42578125" customWidth="1"/>
    <col min="3" max="3" width="18.42578125" customWidth="1"/>
    <col min="4" max="4" width="22" customWidth="1"/>
    <col min="5" max="5" width="19.28515625" customWidth="1"/>
    <col min="6" max="6" width="23.140625" customWidth="1"/>
    <col min="7" max="7" width="21.5703125" customWidth="1"/>
  </cols>
  <sheetData>
    <row r="1" spans="3:7" ht="36" customHeight="1" x14ac:dyDescent="0.2">
      <c r="C1" s="149" t="s">
        <v>178</v>
      </c>
      <c r="D1" s="149" t="s">
        <v>232</v>
      </c>
      <c r="E1" s="150" t="s">
        <v>180</v>
      </c>
      <c r="F1" s="151" t="s">
        <v>181</v>
      </c>
      <c r="G1" s="150" t="s">
        <v>182</v>
      </c>
    </row>
    <row r="2" spans="3:7" ht="48" customHeight="1" x14ac:dyDescent="0.2">
      <c r="C2" s="152" t="s">
        <v>183</v>
      </c>
      <c r="D2" s="153" t="s">
        <v>233</v>
      </c>
      <c r="E2" s="154">
        <v>3671037</v>
      </c>
      <c r="F2" s="155">
        <v>4</v>
      </c>
      <c r="G2" s="156">
        <v>14684148</v>
      </c>
    </row>
    <row r="3" spans="3:7" ht="41.25" customHeight="1" x14ac:dyDescent="0.2">
      <c r="C3" s="152" t="s">
        <v>234</v>
      </c>
      <c r="D3" s="153" t="s">
        <v>235</v>
      </c>
      <c r="E3" s="154">
        <v>484000</v>
      </c>
      <c r="F3" s="155">
        <v>4</v>
      </c>
      <c r="G3" s="156">
        <v>1936000</v>
      </c>
    </row>
    <row r="4" spans="3:7" ht="36.75" customHeight="1" x14ac:dyDescent="0.2">
      <c r="C4" s="152" t="s">
        <v>172</v>
      </c>
      <c r="D4" s="153" t="s">
        <v>56</v>
      </c>
      <c r="E4" s="154">
        <v>40900</v>
      </c>
      <c r="F4" s="155">
        <v>4</v>
      </c>
      <c r="G4" s="156">
        <v>163600</v>
      </c>
    </row>
    <row r="5" spans="3:7" ht="33.75" customHeight="1" x14ac:dyDescent="0.2">
      <c r="C5" s="152" t="s">
        <v>236</v>
      </c>
      <c r="D5" s="153" t="s">
        <v>237</v>
      </c>
      <c r="E5" s="154">
        <v>65518</v>
      </c>
      <c r="F5" s="155">
        <v>4</v>
      </c>
      <c r="G5" s="156">
        <v>262072</v>
      </c>
    </row>
    <row r="6" spans="3:7" ht="42" customHeight="1" x14ac:dyDescent="0.2">
      <c r="C6" s="152" t="s">
        <v>184</v>
      </c>
      <c r="D6" s="153" t="s">
        <v>185</v>
      </c>
      <c r="E6" s="154">
        <v>63990</v>
      </c>
      <c r="F6" s="155">
        <v>4</v>
      </c>
      <c r="G6" s="156">
        <v>255960</v>
      </c>
    </row>
    <row r="7" spans="3:7" ht="40.5" customHeight="1" x14ac:dyDescent="0.2">
      <c r="C7" s="152" t="s">
        <v>176</v>
      </c>
      <c r="D7" s="153" t="s">
        <v>238</v>
      </c>
      <c r="E7" s="154">
        <v>38000</v>
      </c>
      <c r="F7" s="155">
        <v>4</v>
      </c>
      <c r="G7" s="156">
        <v>152000</v>
      </c>
    </row>
    <row r="8" spans="3:7" ht="47.25" customHeight="1" x14ac:dyDescent="0.2">
      <c r="C8" s="152" t="s">
        <v>239</v>
      </c>
      <c r="D8" s="153" t="s">
        <v>240</v>
      </c>
      <c r="E8" s="154">
        <v>32254</v>
      </c>
      <c r="F8" s="155">
        <v>1</v>
      </c>
      <c r="G8" s="156">
        <v>32254</v>
      </c>
    </row>
    <row r="9" spans="3:7" ht="1.5" customHeight="1" x14ac:dyDescent="0.2">
      <c r="C9" s="110"/>
      <c r="D9" s="110"/>
      <c r="E9" s="111"/>
      <c r="F9" s="112"/>
      <c r="G9" s="111"/>
    </row>
    <row r="10" spans="3:7" ht="28.5" customHeight="1" thickBot="1" x14ac:dyDescent="0.25">
      <c r="C10" s="147" t="s">
        <v>186</v>
      </c>
      <c r="D10" s="144"/>
      <c r="E10" s="145"/>
      <c r="F10" s="146"/>
      <c r="G10" s="148">
        <v>17486034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PC Admin</vt:lpstr>
      <vt:lpstr>Gabinete Admin</vt:lpstr>
      <vt:lpstr>Portatil Admin</vt:lpstr>
      <vt:lpstr>PC Trabajadores</vt:lpstr>
      <vt:lpstr>Portatil Trabajadores</vt:lpstr>
      <vt:lpstr>Servidores</vt:lpstr>
      <vt:lpstr>Licencias de Software</vt:lpstr>
      <vt:lpstr>Recursos Humanos</vt:lpstr>
      <vt:lpstr>Costo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Alejandro Bocanegra</cp:lastModifiedBy>
  <dcterms:created xsi:type="dcterms:W3CDTF">2010-11-08T17:12:41Z</dcterms:created>
  <dcterms:modified xsi:type="dcterms:W3CDTF">2025-12-16T07:34:35Z</dcterms:modified>
</cp:coreProperties>
</file>